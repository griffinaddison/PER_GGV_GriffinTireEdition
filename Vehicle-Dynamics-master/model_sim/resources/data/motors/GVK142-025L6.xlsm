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mc:AlternateContent xmlns:mc="http://schemas.openxmlformats.org/markup-compatibility/2006">
    <mc:Choice Requires="x15">
      <x15ac:absPath xmlns:x15ac="http://schemas.microsoft.com/office/spreadsheetml/2010/11/ac" url="C:\Users\kh17384\Documents\Customers\EV\University of Penn\"/>
    </mc:Choice>
  </mc:AlternateContent>
  <bookViews>
    <workbookView xWindow="-12" yWindow="-12" windowWidth="15336" windowHeight="8928" tabRatio="755"/>
  </bookViews>
  <sheets>
    <sheet name="MotorSpecs1" sheetId="7" r:id="rId1"/>
    <sheet name="MotorData1" sheetId="8" state="hidden" r:id="rId2"/>
    <sheet name="DriveData1" sheetId="9" state="hidden" r:id="rId3"/>
    <sheet name="TSData1" sheetId="10" state="hidden" r:id="rId4"/>
    <sheet name="EffMap1" sheetId="11" state="hidden" r:id="rId5"/>
    <sheet name="Motor Footnotes" sheetId="5" r:id="rId6"/>
    <sheet name="Gearbox Footnotes" sheetId="6" r:id="rId7"/>
  </sheets>
  <definedNames>
    <definedName name="_xlnm.Print_Area" localSheetId="0">MotorSpecs1!$B$2:$F$51</definedName>
  </definedNames>
  <calcPr calcId="171027"/>
</workbook>
</file>

<file path=xl/calcChain.xml><?xml version="1.0" encoding="utf-8"?>
<calcChain xmlns="http://schemas.openxmlformats.org/spreadsheetml/2006/main">
  <c r="R213" i="11" l="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12" i="11"/>
  <c r="R132" i="11" l="1"/>
  <c r="R202" i="11"/>
  <c r="F48" i="7" l="1"/>
  <c r="T140" i="11"/>
  <c r="U140" i="11"/>
  <c r="V140" i="11"/>
  <c r="W140" i="11"/>
  <c r="X140" i="11"/>
  <c r="Y140" i="11"/>
  <c r="Z140" i="11"/>
  <c r="AA140" i="11"/>
  <c r="AB140" i="11"/>
  <c r="AC140" i="11"/>
  <c r="AD140" i="11"/>
  <c r="AE140" i="11"/>
  <c r="AF140" i="11"/>
  <c r="AG140" i="11"/>
  <c r="AH140" i="11"/>
  <c r="AI140" i="11"/>
  <c r="AJ140" i="11"/>
  <c r="AK140" i="11"/>
  <c r="AL140" i="11"/>
  <c r="AM140" i="11"/>
  <c r="AN140" i="11"/>
  <c r="AO140" i="11"/>
  <c r="AP140" i="11"/>
  <c r="AQ140" i="11"/>
  <c r="AR140" i="11"/>
  <c r="AS140" i="11"/>
  <c r="AT140" i="11"/>
  <c r="AU140" i="11"/>
  <c r="AV140" i="11"/>
  <c r="AW140" i="11"/>
  <c r="R143" i="11"/>
  <c r="R144" i="11"/>
  <c r="R145" i="11"/>
  <c r="R146" i="11"/>
  <c r="R147" i="11"/>
  <c r="R148" i="11"/>
  <c r="R149" i="11"/>
  <c r="R150" i="11"/>
  <c r="R151" i="11"/>
  <c r="R152" i="11"/>
  <c r="R153" i="11"/>
  <c r="R154" i="11"/>
  <c r="R155" i="11"/>
  <c r="R156" i="11"/>
  <c r="R157" i="11"/>
  <c r="R158" i="11"/>
  <c r="R159" i="11"/>
  <c r="R160" i="11"/>
  <c r="R161" i="11"/>
  <c r="R162" i="11"/>
  <c r="R163" i="11"/>
  <c r="R164" i="11"/>
  <c r="R165" i="11"/>
  <c r="R166" i="11"/>
  <c r="R167" i="11"/>
  <c r="R168" i="11"/>
  <c r="R169" i="11"/>
  <c r="R170" i="11"/>
  <c r="R171" i="11"/>
  <c r="R172" i="11"/>
  <c r="R173" i="11"/>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142" i="11"/>
  <c r="S140"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102" i="11"/>
  <c r="R103" i="11"/>
  <c r="R104" i="11"/>
  <c r="R105" i="11"/>
  <c r="R106" i="11"/>
  <c r="R107" i="11"/>
  <c r="R108" i="11"/>
  <c r="R109" i="11"/>
  <c r="R110" i="11"/>
  <c r="R111" i="11"/>
  <c r="R112" i="11"/>
  <c r="R113" i="11"/>
  <c r="R114" i="11"/>
  <c r="R115" i="11"/>
  <c r="R116" i="11"/>
  <c r="R117" i="11"/>
  <c r="R118" i="11"/>
  <c r="R119" i="11"/>
  <c r="R120" i="11"/>
  <c r="R121" i="11"/>
  <c r="R122" i="11"/>
  <c r="R123" i="11"/>
  <c r="R124" i="11"/>
  <c r="R125" i="11"/>
  <c r="R126" i="11"/>
  <c r="R127" i="11"/>
  <c r="R128" i="11"/>
  <c r="R129" i="11"/>
  <c r="R130" i="11"/>
  <c r="R131" i="11"/>
  <c r="R72" i="11"/>
  <c r="T70" i="11"/>
  <c r="T211" i="11" s="1"/>
  <c r="U70" i="11"/>
  <c r="U211" i="11" s="1"/>
  <c r="V70" i="11"/>
  <c r="V211" i="11" s="1"/>
  <c r="W70" i="11"/>
  <c r="W211" i="11" s="1"/>
  <c r="X70" i="11"/>
  <c r="X211" i="11" s="1"/>
  <c r="Y70" i="11"/>
  <c r="Y211" i="11" s="1"/>
  <c r="Z70" i="11"/>
  <c r="Z211" i="11" s="1"/>
  <c r="AA70" i="11"/>
  <c r="AA211" i="11" s="1"/>
  <c r="AB70" i="11"/>
  <c r="AB211" i="11" s="1"/>
  <c r="AC70" i="11"/>
  <c r="AC211" i="11" s="1"/>
  <c r="AD70" i="11"/>
  <c r="AD211" i="11" s="1"/>
  <c r="AE70" i="11"/>
  <c r="AE211" i="11" s="1"/>
  <c r="AF70" i="11"/>
  <c r="AF211" i="11" s="1"/>
  <c r="AG70" i="11"/>
  <c r="AG211" i="11" s="1"/>
  <c r="AH70" i="11"/>
  <c r="AH211" i="11" s="1"/>
  <c r="AI70" i="11"/>
  <c r="AI211" i="11" s="1"/>
  <c r="AJ70" i="11"/>
  <c r="AJ211" i="11" s="1"/>
  <c r="AK70" i="11"/>
  <c r="AK211" i="11" s="1"/>
  <c r="AL70" i="11"/>
  <c r="AL211" i="11" s="1"/>
  <c r="AM70" i="11"/>
  <c r="AM211" i="11" s="1"/>
  <c r="AN70" i="11"/>
  <c r="AN211" i="11" s="1"/>
  <c r="AO70" i="11"/>
  <c r="AO211" i="11" s="1"/>
  <c r="AP70" i="11"/>
  <c r="AP211" i="11" s="1"/>
  <c r="AQ70" i="11"/>
  <c r="AQ211" i="11" s="1"/>
  <c r="AR70" i="11"/>
  <c r="AR211" i="11" s="1"/>
  <c r="AS70" i="11"/>
  <c r="AS211" i="11" s="1"/>
  <c r="AT70" i="11"/>
  <c r="AT211" i="11" s="1"/>
  <c r="AU70" i="11"/>
  <c r="AU211" i="11" s="1"/>
  <c r="AV70" i="11"/>
  <c r="AV211" i="11" s="1"/>
  <c r="AW70" i="11"/>
  <c r="AW211" i="11" s="1"/>
  <c r="S70" i="11"/>
  <c r="S211" i="11" s="1"/>
  <c r="BF1" i="10" l="1"/>
  <c r="BJ1" i="10" s="1"/>
  <c r="BF2" i="10"/>
  <c r="H41" i="7" s="1"/>
  <c r="H42" i="7" l="1"/>
  <c r="I5" i="10"/>
  <c r="BG4" i="10"/>
  <c r="BF4" i="10"/>
  <c r="F33" i="8" l="1"/>
  <c r="F34" i="8" s="1"/>
  <c r="F31" i="8"/>
  <c r="F29" i="8"/>
  <c r="F30" i="8" s="1"/>
  <c r="F32" i="8"/>
  <c r="F35" i="8" s="1"/>
  <c r="AD2" i="10"/>
  <c r="AJ2" i="10"/>
  <c r="X3" i="10"/>
  <c r="H4" i="10"/>
  <c r="I4" i="10"/>
  <c r="J4" i="10"/>
  <c r="K4" i="10"/>
  <c r="L4" i="10"/>
  <c r="P4" i="10"/>
  <c r="Q4" i="10"/>
  <c r="U4" i="10"/>
  <c r="X4" i="10"/>
  <c r="AQ4" i="10"/>
  <c r="AR4" i="10"/>
  <c r="H5" i="10"/>
  <c r="J5" i="10"/>
  <c r="K5" i="10"/>
  <c r="L5" i="10"/>
  <c r="P5" i="10"/>
  <c r="Q5" i="10"/>
  <c r="U5" i="10"/>
  <c r="AQ5" i="10"/>
  <c r="AR5" i="10"/>
  <c r="H6" i="10"/>
  <c r="I6" i="10"/>
  <c r="J6" i="10"/>
  <c r="K6" i="10"/>
  <c r="L6" i="10"/>
  <c r="P6" i="10"/>
  <c r="Q6" i="10"/>
  <c r="U6" i="10"/>
  <c r="AQ6" i="10"/>
  <c r="AR6" i="10"/>
  <c r="H7" i="10"/>
  <c r="I7" i="10"/>
  <c r="J7" i="10"/>
  <c r="K7" i="10"/>
  <c r="L7" i="10"/>
  <c r="P7" i="10"/>
  <c r="Q7" i="10"/>
  <c r="U7" i="10"/>
  <c r="AQ7" i="10"/>
  <c r="AR7" i="10"/>
  <c r="H8" i="10"/>
  <c r="I8" i="10"/>
  <c r="J8" i="10"/>
  <c r="K8" i="10"/>
  <c r="L8" i="10"/>
  <c r="P8" i="10"/>
  <c r="Q8" i="10"/>
  <c r="U8" i="10"/>
  <c r="AQ8" i="10"/>
  <c r="AR8" i="10"/>
  <c r="H9" i="10"/>
  <c r="I9" i="10"/>
  <c r="J9" i="10"/>
  <c r="K9" i="10"/>
  <c r="L9" i="10"/>
  <c r="P9" i="10"/>
  <c r="Q9" i="10"/>
  <c r="U9" i="10"/>
  <c r="X9" i="10"/>
  <c r="AQ9" i="10"/>
  <c r="AR9" i="10"/>
  <c r="H10" i="10"/>
  <c r="I10" i="10"/>
  <c r="J10" i="10"/>
  <c r="K10" i="10"/>
  <c r="L10" i="10"/>
  <c r="P10" i="10"/>
  <c r="Q10" i="10"/>
  <c r="U10" i="10"/>
  <c r="AQ10" i="10"/>
  <c r="AR10" i="10"/>
  <c r="H11" i="10"/>
  <c r="I11" i="10"/>
  <c r="J11" i="10"/>
  <c r="K11" i="10"/>
  <c r="L11" i="10"/>
  <c r="P11" i="10"/>
  <c r="Q11" i="10"/>
  <c r="U11" i="10"/>
  <c r="AQ11" i="10"/>
  <c r="AR11" i="10"/>
  <c r="H12" i="10"/>
  <c r="I12" i="10"/>
  <c r="J12" i="10"/>
  <c r="K12" i="10"/>
  <c r="L12" i="10"/>
  <c r="P12" i="10"/>
  <c r="Q12" i="10"/>
  <c r="U12" i="10"/>
  <c r="AQ12" i="10"/>
  <c r="AR12" i="10"/>
  <c r="H13" i="10"/>
  <c r="I13" i="10"/>
  <c r="J13" i="10"/>
  <c r="K13" i="10"/>
  <c r="L13" i="10"/>
  <c r="P13" i="10"/>
  <c r="Q13" i="10"/>
  <c r="U13" i="10"/>
  <c r="X13" i="10"/>
  <c r="AQ13" i="10"/>
  <c r="AR13" i="10"/>
  <c r="H14" i="10"/>
  <c r="I14" i="10"/>
  <c r="J14" i="10"/>
  <c r="K14" i="10"/>
  <c r="L14" i="10"/>
  <c r="P14" i="10"/>
  <c r="Q14" i="10"/>
  <c r="U14" i="10"/>
  <c r="AQ14" i="10"/>
  <c r="AR14" i="10"/>
  <c r="H15" i="10"/>
  <c r="I15" i="10"/>
  <c r="J15" i="10"/>
  <c r="K15" i="10"/>
  <c r="L15" i="10"/>
  <c r="P15" i="10"/>
  <c r="Q15" i="10"/>
  <c r="U15" i="10"/>
  <c r="AQ15" i="10"/>
  <c r="AR15" i="10"/>
  <c r="H16" i="10"/>
  <c r="I16" i="10"/>
  <c r="J16" i="10"/>
  <c r="K16" i="10"/>
  <c r="L16" i="10"/>
  <c r="P16" i="10"/>
  <c r="Q16" i="10"/>
  <c r="U16" i="10"/>
  <c r="AQ16" i="10"/>
  <c r="AR16" i="10"/>
  <c r="H17" i="10"/>
  <c r="I17" i="10"/>
  <c r="J17" i="10"/>
  <c r="K17" i="10"/>
  <c r="L17" i="10"/>
  <c r="P17" i="10"/>
  <c r="Q17" i="10"/>
  <c r="U17" i="10"/>
  <c r="AQ17" i="10"/>
  <c r="AR17" i="10"/>
  <c r="H18" i="10"/>
  <c r="I18" i="10"/>
  <c r="J18" i="10"/>
  <c r="K18" i="10"/>
  <c r="L18" i="10"/>
  <c r="P18" i="10"/>
  <c r="Q18" i="10"/>
  <c r="U18" i="10"/>
  <c r="AQ18" i="10"/>
  <c r="AR18" i="10"/>
  <c r="H19" i="10"/>
  <c r="I19" i="10"/>
  <c r="J19" i="10"/>
  <c r="K19" i="10"/>
  <c r="L19" i="10"/>
  <c r="P19" i="10"/>
  <c r="Q19" i="10"/>
  <c r="U19" i="10"/>
  <c r="AQ19" i="10"/>
  <c r="AR19" i="10"/>
  <c r="H20" i="10"/>
  <c r="I20" i="10"/>
  <c r="J20" i="10"/>
  <c r="K20" i="10"/>
  <c r="L20" i="10"/>
  <c r="P20" i="10"/>
  <c r="Q20" i="10"/>
  <c r="U20" i="10"/>
  <c r="AQ20" i="10"/>
  <c r="AR20" i="10"/>
  <c r="H21" i="10"/>
  <c r="I21" i="10"/>
  <c r="J21" i="10"/>
  <c r="K21" i="10"/>
  <c r="L21" i="10"/>
  <c r="P21" i="10"/>
  <c r="Q21" i="10"/>
  <c r="U21" i="10"/>
  <c r="AQ21" i="10"/>
  <c r="AR21" i="10"/>
  <c r="H22" i="10"/>
  <c r="I22" i="10"/>
  <c r="J22" i="10"/>
  <c r="K22" i="10"/>
  <c r="L22" i="10"/>
  <c r="P22" i="10"/>
  <c r="Q22" i="10"/>
  <c r="U22" i="10"/>
  <c r="AQ22" i="10"/>
  <c r="AR22" i="10"/>
  <c r="H23" i="10"/>
  <c r="I23" i="10"/>
  <c r="J23" i="10"/>
  <c r="K23" i="10"/>
  <c r="L23" i="10"/>
  <c r="P23" i="10"/>
  <c r="Q23" i="10"/>
  <c r="U23" i="10"/>
  <c r="AQ23" i="10"/>
  <c r="AR23" i="10"/>
  <c r="H24" i="10"/>
  <c r="I24" i="10"/>
  <c r="J24" i="10"/>
  <c r="K24" i="10"/>
  <c r="L24" i="10"/>
  <c r="P24" i="10"/>
  <c r="Q24" i="10"/>
  <c r="U24" i="10"/>
  <c r="AQ24" i="10"/>
  <c r="AR24" i="10"/>
  <c r="H25" i="10"/>
  <c r="I25" i="10"/>
  <c r="J25" i="10"/>
  <c r="K25" i="10"/>
  <c r="L25" i="10"/>
  <c r="P25" i="10"/>
  <c r="Q25" i="10"/>
  <c r="U25" i="10"/>
  <c r="AQ25" i="10"/>
  <c r="AR25" i="10"/>
  <c r="H26" i="10"/>
  <c r="I26" i="10"/>
  <c r="J26" i="10"/>
  <c r="K26" i="10"/>
  <c r="L26" i="10"/>
  <c r="P26" i="10"/>
  <c r="Q26" i="10"/>
  <c r="U26" i="10"/>
  <c r="AQ26" i="10"/>
  <c r="AR26" i="10"/>
  <c r="H27" i="10"/>
  <c r="I27" i="10"/>
  <c r="J27" i="10"/>
  <c r="K27" i="10"/>
  <c r="L27" i="10"/>
  <c r="P27" i="10"/>
  <c r="Q27" i="10"/>
  <c r="U27" i="10"/>
  <c r="AQ27" i="10"/>
  <c r="AR27" i="10"/>
  <c r="H28" i="10"/>
  <c r="I28" i="10"/>
  <c r="J28" i="10"/>
  <c r="K28" i="10"/>
  <c r="L28" i="10"/>
  <c r="P28" i="10"/>
  <c r="Q28" i="10"/>
  <c r="U28" i="10"/>
  <c r="AQ28" i="10"/>
  <c r="AR28" i="10"/>
  <c r="H29" i="10"/>
  <c r="I29" i="10"/>
  <c r="J29" i="10"/>
  <c r="K29" i="10"/>
  <c r="L29" i="10"/>
  <c r="P29" i="10"/>
  <c r="Q29" i="10"/>
  <c r="U29" i="10"/>
  <c r="AQ29" i="10"/>
  <c r="AR29" i="10"/>
  <c r="H30" i="10"/>
  <c r="I30" i="10"/>
  <c r="J30" i="10"/>
  <c r="K30" i="10"/>
  <c r="L30" i="10"/>
  <c r="P30" i="10"/>
  <c r="Q30" i="10"/>
  <c r="U30" i="10"/>
  <c r="AQ30" i="10"/>
  <c r="AR30" i="10"/>
  <c r="H31" i="10"/>
  <c r="I31" i="10"/>
  <c r="J31" i="10"/>
  <c r="K31" i="10"/>
  <c r="L31" i="10"/>
  <c r="P31" i="10"/>
  <c r="Q31" i="10"/>
  <c r="U31" i="10"/>
  <c r="AQ31" i="10"/>
  <c r="AR31" i="10"/>
  <c r="H32" i="10"/>
  <c r="I32" i="10"/>
  <c r="J32" i="10"/>
  <c r="K32" i="10"/>
  <c r="L32" i="10"/>
  <c r="P32" i="10"/>
  <c r="Q32" i="10"/>
  <c r="U32" i="10"/>
  <c r="AQ32" i="10"/>
  <c r="AR32" i="10"/>
  <c r="H33" i="10"/>
  <c r="I33" i="10"/>
  <c r="J33" i="10"/>
  <c r="K33" i="10"/>
  <c r="L33" i="10"/>
  <c r="P33" i="10"/>
  <c r="Q33" i="10"/>
  <c r="U33" i="10"/>
  <c r="AQ33" i="10"/>
  <c r="AR33" i="10"/>
  <c r="H34" i="10"/>
  <c r="I34" i="10"/>
  <c r="J34" i="10"/>
  <c r="K34" i="10"/>
  <c r="L34" i="10"/>
  <c r="P34" i="10"/>
  <c r="Q34" i="10"/>
  <c r="U34" i="10"/>
  <c r="AQ34" i="10"/>
  <c r="AR34" i="10"/>
  <c r="H35" i="10"/>
  <c r="I35" i="10"/>
  <c r="J35" i="10"/>
  <c r="K35" i="10"/>
  <c r="L35" i="10"/>
  <c r="P35" i="10"/>
  <c r="Q35" i="10"/>
  <c r="U35" i="10"/>
  <c r="AQ35" i="10"/>
  <c r="AR35" i="10"/>
  <c r="H36" i="10"/>
  <c r="I36" i="10"/>
  <c r="J36" i="10"/>
  <c r="K36" i="10"/>
  <c r="L36" i="10"/>
  <c r="P36" i="10"/>
  <c r="Q36" i="10"/>
  <c r="U36" i="10"/>
  <c r="AQ36" i="10"/>
  <c r="AR36" i="10"/>
  <c r="H37" i="10"/>
  <c r="I37" i="10"/>
  <c r="J37" i="10"/>
  <c r="K37" i="10"/>
  <c r="L37" i="10"/>
  <c r="P37" i="10"/>
  <c r="Q37" i="10"/>
  <c r="U37" i="10"/>
  <c r="AQ37" i="10"/>
  <c r="AR37" i="10"/>
  <c r="H38" i="10"/>
  <c r="I38" i="10"/>
  <c r="J38" i="10"/>
  <c r="K38" i="10"/>
  <c r="L38" i="10"/>
  <c r="P38" i="10"/>
  <c r="Q38" i="10"/>
  <c r="U38" i="10"/>
  <c r="AQ38" i="10"/>
  <c r="AR38" i="10"/>
  <c r="H39" i="10"/>
  <c r="I39" i="10"/>
  <c r="J39" i="10"/>
  <c r="K39" i="10"/>
  <c r="L39" i="10"/>
  <c r="P39" i="10"/>
  <c r="Q39" i="10"/>
  <c r="U39" i="10"/>
  <c r="AQ39" i="10"/>
  <c r="AR39" i="10"/>
  <c r="H40" i="10"/>
  <c r="I40" i="10"/>
  <c r="J40" i="10"/>
  <c r="K40" i="10"/>
  <c r="L40" i="10"/>
  <c r="P40" i="10"/>
  <c r="Q40" i="10"/>
  <c r="U40" i="10"/>
  <c r="AQ40" i="10"/>
  <c r="AR40" i="10"/>
  <c r="H41" i="10"/>
  <c r="I41" i="10"/>
  <c r="J41" i="10"/>
  <c r="K41" i="10"/>
  <c r="L41" i="10"/>
  <c r="P41" i="10"/>
  <c r="Q41" i="10"/>
  <c r="U41" i="10"/>
  <c r="AQ41" i="10"/>
  <c r="AR41" i="10"/>
  <c r="H42" i="10"/>
  <c r="I42" i="10"/>
  <c r="J42" i="10"/>
  <c r="K42" i="10"/>
  <c r="L42" i="10"/>
  <c r="P42" i="10"/>
  <c r="Q42" i="10"/>
  <c r="U42" i="10"/>
  <c r="AQ42" i="10"/>
  <c r="AR42" i="10"/>
  <c r="H43" i="10"/>
  <c r="I43" i="10"/>
  <c r="J43" i="10"/>
  <c r="K43" i="10"/>
  <c r="L43" i="10"/>
  <c r="P43" i="10"/>
  <c r="Q43" i="10"/>
  <c r="U43" i="10"/>
  <c r="AQ43" i="10"/>
  <c r="AR43" i="10"/>
  <c r="H44" i="10"/>
  <c r="I44" i="10"/>
  <c r="J44" i="10"/>
  <c r="K44" i="10"/>
  <c r="L44" i="10"/>
  <c r="P44" i="10"/>
  <c r="Q44" i="10"/>
  <c r="U44" i="10"/>
  <c r="AQ44" i="10"/>
  <c r="AR44" i="10"/>
  <c r="H45" i="10"/>
  <c r="I45" i="10"/>
  <c r="J45" i="10"/>
  <c r="K45" i="10"/>
  <c r="L45" i="10"/>
  <c r="P45" i="10"/>
  <c r="Q45" i="10"/>
  <c r="U45" i="10"/>
  <c r="AQ45" i="10"/>
  <c r="AR45" i="10"/>
  <c r="H46" i="10"/>
  <c r="I46" i="10"/>
  <c r="J46" i="10"/>
  <c r="K46" i="10"/>
  <c r="L46" i="10"/>
  <c r="P46" i="10"/>
  <c r="Q46" i="10"/>
  <c r="U46" i="10"/>
  <c r="AQ46" i="10"/>
  <c r="AR46" i="10"/>
  <c r="H47" i="10"/>
  <c r="I47" i="10"/>
  <c r="J47" i="10"/>
  <c r="K47" i="10"/>
  <c r="L47" i="10"/>
  <c r="P47" i="10"/>
  <c r="Q47" i="10"/>
  <c r="U47" i="10"/>
  <c r="AQ47" i="10"/>
  <c r="AR47" i="10"/>
  <c r="I48" i="10"/>
  <c r="J48" i="10"/>
  <c r="K48" i="10"/>
  <c r="L48" i="10"/>
  <c r="P48" i="10"/>
  <c r="Q48" i="10"/>
  <c r="U48" i="10"/>
  <c r="AQ48" i="10"/>
  <c r="AR48" i="10"/>
  <c r="I49" i="10"/>
  <c r="J49" i="10"/>
  <c r="K49" i="10"/>
  <c r="L49" i="10"/>
  <c r="P49" i="10"/>
  <c r="Q49" i="10"/>
  <c r="U49" i="10"/>
  <c r="AQ49" i="10"/>
  <c r="AR49" i="10"/>
  <c r="I50" i="10"/>
  <c r="J50" i="10"/>
  <c r="K50" i="10"/>
  <c r="L50" i="10"/>
  <c r="P50" i="10"/>
  <c r="Q50" i="10"/>
  <c r="U50" i="10"/>
  <c r="AQ50" i="10"/>
  <c r="AR50" i="10"/>
  <c r="I51" i="10"/>
  <c r="J51" i="10"/>
  <c r="K51" i="10"/>
  <c r="L51" i="10"/>
  <c r="P51" i="10"/>
  <c r="Q51" i="10"/>
  <c r="U51" i="10"/>
  <c r="AQ51" i="10"/>
  <c r="AR51" i="10"/>
  <c r="I52" i="10"/>
  <c r="J52" i="10"/>
  <c r="K52" i="10"/>
  <c r="L52" i="10"/>
  <c r="P52" i="10"/>
  <c r="Q52" i="10"/>
  <c r="U52" i="10"/>
  <c r="AQ52" i="10"/>
  <c r="AR52" i="10"/>
  <c r="I53" i="10"/>
  <c r="J53" i="10"/>
  <c r="K53" i="10"/>
  <c r="L53" i="10"/>
  <c r="P53" i="10"/>
  <c r="Q53" i="10"/>
  <c r="U53" i="10"/>
  <c r="AQ53" i="10"/>
  <c r="AR53" i="10"/>
  <c r="I54" i="10"/>
  <c r="J54" i="10"/>
  <c r="K54" i="10"/>
  <c r="L54" i="10"/>
  <c r="P54" i="10"/>
  <c r="Q54" i="10"/>
  <c r="U54" i="10"/>
  <c r="AQ54" i="10"/>
  <c r="AR54" i="10"/>
  <c r="I55" i="10"/>
  <c r="J55" i="10"/>
  <c r="K55" i="10"/>
  <c r="L55" i="10"/>
  <c r="P55" i="10"/>
  <c r="Q55" i="10"/>
  <c r="U55" i="10"/>
  <c r="AQ55" i="10"/>
  <c r="AR55" i="10"/>
  <c r="I56" i="10"/>
  <c r="J56" i="10"/>
  <c r="K56" i="10"/>
  <c r="L56" i="10"/>
  <c r="P56" i="10"/>
  <c r="Q56" i="10"/>
  <c r="U56" i="10"/>
  <c r="AQ56" i="10"/>
  <c r="AR56" i="10"/>
  <c r="I57" i="10"/>
  <c r="J57" i="10"/>
  <c r="K57" i="10"/>
  <c r="L57" i="10"/>
  <c r="P57" i="10"/>
  <c r="Q57" i="10"/>
  <c r="U57" i="10"/>
  <c r="AQ57" i="10"/>
  <c r="AR57" i="10"/>
  <c r="I58" i="10"/>
  <c r="J58" i="10"/>
  <c r="K58" i="10"/>
  <c r="L58" i="10"/>
  <c r="P58" i="10"/>
  <c r="Q58" i="10"/>
  <c r="U58" i="10"/>
  <c r="AQ58" i="10"/>
  <c r="AR58" i="10"/>
  <c r="I59" i="10"/>
  <c r="J59" i="10"/>
  <c r="K59" i="10"/>
  <c r="L59" i="10"/>
  <c r="P59" i="10"/>
  <c r="Q59" i="10"/>
  <c r="U59" i="10"/>
  <c r="AQ59" i="10"/>
  <c r="AR59" i="10"/>
  <c r="I60" i="10"/>
  <c r="J60" i="10"/>
  <c r="K60" i="10"/>
  <c r="L60" i="10"/>
  <c r="P60" i="10"/>
  <c r="Q60" i="10"/>
  <c r="U60" i="10"/>
  <c r="AQ60" i="10"/>
  <c r="AR60" i="10"/>
  <c r="I61" i="10"/>
  <c r="J61" i="10"/>
  <c r="K61" i="10"/>
  <c r="L61" i="10"/>
  <c r="P61" i="10"/>
  <c r="Q61" i="10"/>
  <c r="U61" i="10"/>
  <c r="AQ61" i="10"/>
  <c r="AR61" i="10"/>
  <c r="I62" i="10"/>
  <c r="J62" i="10"/>
  <c r="K62" i="10"/>
  <c r="L62" i="10"/>
  <c r="P62" i="10"/>
  <c r="Q62" i="10"/>
  <c r="U62" i="10"/>
  <c r="AQ62" i="10"/>
  <c r="AR62" i="10"/>
  <c r="I63" i="10"/>
  <c r="J63" i="10"/>
  <c r="K63" i="10"/>
  <c r="L63" i="10"/>
  <c r="P63" i="10"/>
  <c r="Q63" i="10"/>
  <c r="U63" i="10"/>
  <c r="AQ63" i="10"/>
  <c r="AR63" i="10"/>
  <c r="I64" i="10"/>
  <c r="J64" i="10"/>
  <c r="K64" i="10"/>
  <c r="L64" i="10"/>
  <c r="P64" i="10"/>
  <c r="Q64" i="10"/>
  <c r="U64" i="10"/>
  <c r="AQ64" i="10"/>
  <c r="AR64" i="10"/>
  <c r="I65" i="10"/>
  <c r="J65" i="10"/>
  <c r="K65" i="10"/>
  <c r="L65" i="10"/>
  <c r="P65" i="10"/>
  <c r="Q65" i="10"/>
  <c r="U65" i="10"/>
  <c r="AQ65" i="10"/>
  <c r="AR65" i="10"/>
  <c r="I66" i="10"/>
  <c r="J66" i="10"/>
  <c r="K66" i="10"/>
  <c r="L66" i="10"/>
  <c r="P66" i="10"/>
  <c r="Q66" i="10"/>
  <c r="U66" i="10"/>
  <c r="AQ66" i="10"/>
  <c r="AR66" i="10"/>
  <c r="I67" i="10"/>
  <c r="J67" i="10"/>
  <c r="K67" i="10"/>
  <c r="L67" i="10"/>
  <c r="P67" i="10"/>
  <c r="Q67" i="10"/>
  <c r="U67" i="10"/>
  <c r="AQ67" i="10"/>
  <c r="AR67" i="10"/>
  <c r="I68" i="10"/>
  <c r="J68" i="10"/>
  <c r="K68" i="10"/>
  <c r="L68" i="10"/>
  <c r="P68" i="10"/>
  <c r="Q68" i="10"/>
  <c r="U68" i="10"/>
  <c r="AQ68" i="10"/>
  <c r="AR68" i="10"/>
  <c r="I69" i="10"/>
  <c r="J69" i="10"/>
  <c r="K69" i="10"/>
  <c r="L69" i="10"/>
  <c r="P69" i="10"/>
  <c r="Q69" i="10"/>
  <c r="U69" i="10"/>
  <c r="AQ69" i="10"/>
  <c r="AR69" i="10"/>
  <c r="I70" i="10"/>
  <c r="J70" i="10"/>
  <c r="K70" i="10"/>
  <c r="L70" i="10"/>
  <c r="P70" i="10"/>
  <c r="Q70" i="10"/>
  <c r="U70" i="10"/>
  <c r="AQ70" i="10"/>
  <c r="AR70" i="10"/>
  <c r="I71" i="10"/>
  <c r="J71" i="10"/>
  <c r="K71" i="10"/>
  <c r="L71" i="10"/>
  <c r="P71" i="10"/>
  <c r="Q71" i="10"/>
  <c r="U71" i="10"/>
  <c r="AQ71" i="10"/>
  <c r="AR71" i="10"/>
  <c r="I72" i="10"/>
  <c r="J72" i="10"/>
  <c r="K72" i="10"/>
  <c r="L72" i="10"/>
  <c r="P72" i="10"/>
  <c r="Q72" i="10"/>
  <c r="U72" i="10"/>
  <c r="AQ72" i="10"/>
  <c r="AR72" i="10"/>
  <c r="I73" i="10"/>
  <c r="J73" i="10"/>
  <c r="K73" i="10"/>
  <c r="L73" i="10"/>
  <c r="P73" i="10"/>
  <c r="Q73" i="10"/>
  <c r="U73" i="10"/>
  <c r="AQ73" i="10"/>
  <c r="AR73" i="10"/>
  <c r="I74" i="10"/>
  <c r="J74" i="10"/>
  <c r="K74" i="10"/>
  <c r="L74" i="10"/>
  <c r="P74" i="10"/>
  <c r="Q74" i="10"/>
  <c r="U74" i="10"/>
  <c r="AQ74" i="10"/>
  <c r="AR74" i="10"/>
  <c r="I75" i="10"/>
  <c r="J75" i="10"/>
  <c r="K75" i="10"/>
  <c r="L75" i="10"/>
  <c r="P75" i="10"/>
  <c r="Q75" i="10"/>
  <c r="U75" i="10"/>
  <c r="AQ75" i="10"/>
  <c r="AR75" i="10"/>
  <c r="I76" i="10"/>
  <c r="J76" i="10"/>
  <c r="K76" i="10"/>
  <c r="L76" i="10"/>
  <c r="P76" i="10"/>
  <c r="Q76" i="10"/>
  <c r="U76" i="10"/>
  <c r="AQ76" i="10"/>
  <c r="AR76" i="10"/>
  <c r="I77" i="10"/>
  <c r="J77" i="10"/>
  <c r="K77" i="10"/>
  <c r="L77" i="10"/>
  <c r="P77" i="10"/>
  <c r="Q77" i="10"/>
  <c r="U77" i="10"/>
  <c r="AQ77" i="10"/>
  <c r="AR77" i="10"/>
  <c r="I78" i="10"/>
  <c r="J78" i="10"/>
  <c r="K78" i="10"/>
  <c r="L78" i="10"/>
  <c r="P78" i="10"/>
  <c r="Q78" i="10"/>
  <c r="U78" i="10"/>
  <c r="AQ78" i="10"/>
  <c r="AR78" i="10"/>
  <c r="I79" i="10"/>
  <c r="J79" i="10"/>
  <c r="K79" i="10"/>
  <c r="L79" i="10"/>
  <c r="P79" i="10"/>
  <c r="Q79" i="10"/>
  <c r="U79" i="10"/>
  <c r="AQ79" i="10"/>
  <c r="AR79" i="10"/>
  <c r="I80" i="10"/>
  <c r="J80" i="10"/>
  <c r="K80" i="10"/>
  <c r="L80" i="10"/>
  <c r="P80" i="10"/>
  <c r="Q80" i="10"/>
  <c r="U80" i="10"/>
  <c r="AQ80" i="10"/>
  <c r="AR80" i="10"/>
  <c r="I81" i="10"/>
  <c r="J81" i="10"/>
  <c r="K81" i="10"/>
  <c r="L81" i="10"/>
  <c r="P81" i="10"/>
  <c r="Q81" i="10"/>
  <c r="U81" i="10"/>
  <c r="AQ81" i="10"/>
  <c r="AR81" i="10"/>
  <c r="I82" i="10"/>
  <c r="J82" i="10"/>
  <c r="K82" i="10"/>
  <c r="L82" i="10"/>
  <c r="P82" i="10"/>
  <c r="Q82" i="10"/>
  <c r="U82" i="10"/>
  <c r="AQ82" i="10"/>
  <c r="AR82" i="10"/>
  <c r="I83" i="10"/>
  <c r="J83" i="10"/>
  <c r="K83" i="10"/>
  <c r="L83" i="10"/>
  <c r="P83" i="10"/>
  <c r="Q83" i="10"/>
  <c r="U83" i="10"/>
  <c r="AQ83" i="10"/>
  <c r="AR83" i="10"/>
  <c r="I84" i="10"/>
  <c r="J84" i="10"/>
  <c r="K84" i="10"/>
  <c r="L84" i="10"/>
  <c r="P84" i="10"/>
  <c r="Q84" i="10"/>
  <c r="U84" i="10"/>
  <c r="AQ84" i="10"/>
  <c r="AR84" i="10"/>
  <c r="I85" i="10"/>
  <c r="J85" i="10"/>
  <c r="K85" i="10"/>
  <c r="L85" i="10"/>
  <c r="P85" i="10"/>
  <c r="Q85" i="10"/>
  <c r="U85" i="10"/>
  <c r="AQ85" i="10"/>
  <c r="AR85" i="10"/>
  <c r="I86" i="10"/>
  <c r="J86" i="10"/>
  <c r="K86" i="10"/>
  <c r="L86" i="10"/>
  <c r="P86" i="10"/>
  <c r="Q86" i="10"/>
  <c r="U86" i="10"/>
  <c r="AQ86" i="10"/>
  <c r="AR86" i="10"/>
  <c r="I87" i="10"/>
  <c r="J87" i="10"/>
  <c r="K87" i="10"/>
  <c r="L87" i="10"/>
  <c r="P87" i="10"/>
  <c r="Q87" i="10"/>
  <c r="U87" i="10"/>
  <c r="AQ87" i="10"/>
  <c r="AR87" i="10"/>
  <c r="I88" i="10"/>
  <c r="J88" i="10"/>
  <c r="K88" i="10"/>
  <c r="L88" i="10"/>
  <c r="P88" i="10"/>
  <c r="Q88" i="10"/>
  <c r="U88" i="10"/>
  <c r="AQ88" i="10"/>
  <c r="AR88" i="10"/>
  <c r="I89" i="10"/>
  <c r="J89" i="10"/>
  <c r="K89" i="10"/>
  <c r="L89" i="10"/>
  <c r="P89" i="10"/>
  <c r="Q89" i="10"/>
  <c r="U89" i="10"/>
  <c r="AQ89" i="10"/>
  <c r="AR89" i="10"/>
  <c r="I90" i="10"/>
  <c r="J90" i="10"/>
  <c r="K90" i="10"/>
  <c r="L90" i="10"/>
  <c r="P90" i="10"/>
  <c r="Q90" i="10"/>
  <c r="U90" i="10"/>
  <c r="AQ90" i="10"/>
  <c r="AR90" i="10"/>
  <c r="I91" i="10"/>
  <c r="J91" i="10"/>
  <c r="K91" i="10"/>
  <c r="L91" i="10"/>
  <c r="P91" i="10"/>
  <c r="Q91" i="10"/>
  <c r="U91" i="10"/>
  <c r="AQ91" i="10"/>
  <c r="AR91" i="10"/>
  <c r="I92" i="10"/>
  <c r="J92" i="10"/>
  <c r="K92" i="10"/>
  <c r="L92" i="10"/>
  <c r="P92" i="10"/>
  <c r="Q92" i="10"/>
  <c r="U92" i="10"/>
  <c r="AQ92" i="10"/>
  <c r="AR92" i="10"/>
  <c r="I93" i="10"/>
  <c r="J93" i="10"/>
  <c r="K93" i="10"/>
  <c r="L93" i="10"/>
  <c r="P93" i="10"/>
  <c r="Q93" i="10"/>
  <c r="U93" i="10"/>
  <c r="AQ93" i="10"/>
  <c r="AR93" i="10"/>
  <c r="I94" i="10"/>
  <c r="J94" i="10"/>
  <c r="K94" i="10"/>
  <c r="L94" i="10"/>
  <c r="P94" i="10"/>
  <c r="Q94" i="10"/>
  <c r="U94" i="10"/>
  <c r="AQ94" i="10"/>
  <c r="AR94" i="10"/>
  <c r="I95" i="10"/>
  <c r="J95" i="10"/>
  <c r="K95" i="10"/>
  <c r="L95" i="10"/>
  <c r="P95" i="10"/>
  <c r="Q95" i="10"/>
  <c r="U95" i="10"/>
  <c r="AQ95" i="10"/>
  <c r="AR95" i="10"/>
  <c r="C3" i="7"/>
  <c r="X21" i="10" s="1"/>
  <c r="C4" i="7"/>
  <c r="X22" i="10" s="1"/>
  <c r="C5" i="7"/>
  <c r="F7" i="7"/>
  <c r="F8" i="7"/>
  <c r="F9" i="7"/>
  <c r="F10" i="7"/>
  <c r="F11" i="7"/>
  <c r="F12" i="7"/>
  <c r="F13" i="7"/>
  <c r="F14" i="7"/>
  <c r="F15" i="7"/>
  <c r="F16" i="7"/>
  <c r="F17" i="7"/>
  <c r="F18" i="7"/>
  <c r="F19" i="7"/>
  <c r="F20" i="7"/>
  <c r="F21" i="7"/>
  <c r="F22" i="7"/>
  <c r="F23" i="7"/>
  <c r="F24" i="7" s="1"/>
  <c r="F26" i="7"/>
  <c r="F27" i="7"/>
  <c r="F28" i="7"/>
  <c r="F29" i="7"/>
  <c r="F30" i="7" s="1"/>
  <c r="F31" i="7"/>
  <c r="F32" i="7"/>
  <c r="F33" i="7"/>
  <c r="F34" i="7"/>
  <c r="F35" i="7"/>
  <c r="F36" i="7"/>
  <c r="F37" i="7"/>
  <c r="F38" i="7"/>
  <c r="F39" i="7"/>
  <c r="F40" i="7"/>
  <c r="F41" i="7"/>
  <c r="F42" i="7"/>
  <c r="F43" i="7"/>
  <c r="F44" i="7"/>
  <c r="F46" i="7"/>
  <c r="F49" i="7"/>
  <c r="F50" i="7"/>
  <c r="F51" i="7"/>
  <c r="B55" i="7"/>
  <c r="B59" i="7"/>
  <c r="B60" i="7"/>
  <c r="B61" i="7"/>
  <c r="B64" i="7"/>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X23" i="10" l="1"/>
  <c r="X20" i="10" s="1"/>
  <c r="BJ2" i="10"/>
  <c r="F25" i="7"/>
  <c r="BD6" i="10" l="1"/>
  <c r="BD8" i="10"/>
  <c r="BF8" i="10" s="1"/>
  <c r="BD10" i="10"/>
  <c r="BD12" i="10"/>
  <c r="BF12" i="10" s="1"/>
  <c r="BD14" i="10"/>
  <c r="BD16" i="10"/>
  <c r="BF16" i="10" s="1"/>
  <c r="BD18" i="10"/>
  <c r="BF18" i="10" s="1"/>
  <c r="BD20" i="10"/>
  <c r="BF20" i="10" s="1"/>
  <c r="BD22" i="10"/>
  <c r="BD24" i="10"/>
  <c r="BF24" i="10" s="1"/>
  <c r="BD26" i="10"/>
  <c r="BF26" i="10" s="1"/>
  <c r="BD28" i="10"/>
  <c r="BD30" i="10"/>
  <c r="BD32" i="10"/>
  <c r="BF32" i="10" s="1"/>
  <c r="BD36" i="10"/>
  <c r="BD38" i="10"/>
  <c r="BF38" i="10" s="1"/>
  <c r="BD44" i="10"/>
  <c r="BD50" i="10"/>
  <c r="BF50" i="10" s="1"/>
  <c r="BD58" i="10"/>
  <c r="BD66" i="10"/>
  <c r="BF66" i="10" s="1"/>
  <c r="BD76" i="10"/>
  <c r="BD88" i="10"/>
  <c r="BF88" i="10" s="1"/>
  <c r="BD96" i="10"/>
  <c r="BF96" i="10" s="1"/>
  <c r="BD7" i="10"/>
  <c r="BD9" i="10"/>
  <c r="BD11" i="10"/>
  <c r="BF11" i="10" s="1"/>
  <c r="BD13" i="10"/>
  <c r="BF13" i="10" s="1"/>
  <c r="BD15" i="10"/>
  <c r="BF15" i="10" s="1"/>
  <c r="BD17" i="10"/>
  <c r="BD19" i="10"/>
  <c r="BF19" i="10" s="1"/>
  <c r="BD21" i="10"/>
  <c r="BF21" i="10" s="1"/>
  <c r="BD23" i="10"/>
  <c r="BF23" i="10" s="1"/>
  <c r="BD25" i="10"/>
  <c r="BD27" i="10"/>
  <c r="BF27" i="10" s="1"/>
  <c r="BD29" i="10"/>
  <c r="BF29" i="10" s="1"/>
  <c r="BD31" i="10"/>
  <c r="BF31" i="10" s="1"/>
  <c r="BD33" i="10"/>
  <c r="BD35" i="10"/>
  <c r="BF35" i="10" s="1"/>
  <c r="BD37" i="10"/>
  <c r="BD39" i="10"/>
  <c r="BF39" i="10" s="1"/>
  <c r="BD41" i="10"/>
  <c r="BD43" i="10"/>
  <c r="BF43" i="10" s="1"/>
  <c r="BD45" i="10"/>
  <c r="BF45" i="10" s="1"/>
  <c r="BD47" i="10"/>
  <c r="BD49" i="10"/>
  <c r="BD51" i="10"/>
  <c r="BD53" i="10"/>
  <c r="BD55" i="10"/>
  <c r="BF55" i="10" s="1"/>
  <c r="BD57" i="10"/>
  <c r="BD59" i="10"/>
  <c r="BF59" i="10" s="1"/>
  <c r="BD61" i="10"/>
  <c r="BF61" i="10" s="1"/>
  <c r="BD63" i="10"/>
  <c r="BF63" i="10" s="1"/>
  <c r="BD65" i="10"/>
  <c r="BD67" i="10"/>
  <c r="BF67" i="10" s="1"/>
  <c r="BD69" i="10"/>
  <c r="BF69" i="10" s="1"/>
  <c r="BD71" i="10"/>
  <c r="BF71" i="10" s="1"/>
  <c r="BD73" i="10"/>
  <c r="BD75" i="10"/>
  <c r="BF75" i="10" s="1"/>
  <c r="BD77" i="10"/>
  <c r="BF77" i="10" s="1"/>
  <c r="BD79" i="10"/>
  <c r="BF79" i="10" s="1"/>
  <c r="BD81" i="10"/>
  <c r="BD83" i="10"/>
  <c r="BF83" i="10" s="1"/>
  <c r="BD85" i="10"/>
  <c r="BF85" i="10" s="1"/>
  <c r="BD87" i="10"/>
  <c r="BF87" i="10" s="1"/>
  <c r="BD89" i="10"/>
  <c r="BD91" i="10"/>
  <c r="BF91" i="10" s="1"/>
  <c r="BD93" i="10"/>
  <c r="BF93" i="10" s="1"/>
  <c r="BD95" i="10"/>
  <c r="BF95" i="10" s="1"/>
  <c r="BD97" i="10"/>
  <c r="BD99" i="10"/>
  <c r="BF99" i="10" s="1"/>
  <c r="BD5" i="10"/>
  <c r="BF5" i="10" s="1"/>
  <c r="BD34" i="10"/>
  <c r="BF34" i="10" s="1"/>
  <c r="BD40" i="10"/>
  <c r="BD42" i="10"/>
  <c r="BD46" i="10"/>
  <c r="BF46" i="10" s="1"/>
  <c r="BD48" i="10"/>
  <c r="BF48" i="10" s="1"/>
  <c r="BD52" i="10"/>
  <c r="BD54" i="10"/>
  <c r="BF54" i="10" s="1"/>
  <c r="BD56" i="10"/>
  <c r="BF56" i="10" s="1"/>
  <c r="BD60" i="10"/>
  <c r="BF60" i="10" s="1"/>
  <c r="BD62" i="10"/>
  <c r="BD64" i="10"/>
  <c r="BF64" i="10" s="1"/>
  <c r="BD68" i="10"/>
  <c r="BF68" i="10" s="1"/>
  <c r="BD70" i="10"/>
  <c r="BF70" i="10" s="1"/>
  <c r="BD72" i="10"/>
  <c r="BD74" i="10"/>
  <c r="BF74" i="10" s="1"/>
  <c r="BD78" i="10"/>
  <c r="BF78" i="10" s="1"/>
  <c r="BD80" i="10"/>
  <c r="BF80" i="10" s="1"/>
  <c r="BD82" i="10"/>
  <c r="BD84" i="10"/>
  <c r="BF84" i="10" s="1"/>
  <c r="BD86" i="10"/>
  <c r="BF86" i="10" s="1"/>
  <c r="BD90" i="10"/>
  <c r="BF90" i="10" s="1"/>
  <c r="BD92" i="10"/>
  <c r="BD94" i="10"/>
  <c r="BD98" i="10"/>
  <c r="BF98" i="10" s="1"/>
  <c r="BD100" i="10"/>
  <c r="BF100" i="10" s="1"/>
  <c r="BE5" i="10"/>
  <c r="BG5" i="10" s="1"/>
  <c r="BE91" i="10"/>
  <c r="BG91" i="10" s="1"/>
  <c r="BE75" i="10"/>
  <c r="BG75" i="10" s="1"/>
  <c r="BE61" i="10"/>
  <c r="BG61" i="10" s="1"/>
  <c r="BE45" i="10"/>
  <c r="BG45" i="10" s="1"/>
  <c r="BE27" i="10"/>
  <c r="BG27" i="10" s="1"/>
  <c r="BE15" i="10"/>
  <c r="BG15" i="10" s="1"/>
  <c r="BE11" i="10"/>
  <c r="BG11" i="10" s="1"/>
  <c r="BE7" i="10"/>
  <c r="BG7" i="10" s="1"/>
  <c r="BE95" i="10"/>
  <c r="BG95" i="10" s="1"/>
  <c r="BE89" i="10"/>
  <c r="BG89" i="10" s="1"/>
  <c r="BE83" i="10"/>
  <c r="BG83" i="10" s="1"/>
  <c r="BE79" i="10"/>
  <c r="BG79" i="10" s="1"/>
  <c r="BE73" i="10"/>
  <c r="BG73" i="10" s="1"/>
  <c r="BE69" i="10"/>
  <c r="BG69" i="10" s="1"/>
  <c r="BE63" i="10"/>
  <c r="BG63" i="10" s="1"/>
  <c r="BE57" i="10"/>
  <c r="BG57" i="10" s="1"/>
  <c r="BE51" i="10"/>
  <c r="BG51" i="10" s="1"/>
  <c r="BE47" i="10"/>
  <c r="BG47" i="10" s="1"/>
  <c r="BE41" i="10"/>
  <c r="BG41" i="10" s="1"/>
  <c r="BE35" i="10"/>
  <c r="BG35" i="10" s="1"/>
  <c r="BE31" i="10"/>
  <c r="BG31" i="10" s="1"/>
  <c r="BE25" i="10"/>
  <c r="BG25" i="10" s="1"/>
  <c r="BE21" i="10"/>
  <c r="BG21" i="10" s="1"/>
  <c r="BE100" i="10"/>
  <c r="BG100" i="10" s="1"/>
  <c r="BE96" i="10"/>
  <c r="BG96" i="10" s="1"/>
  <c r="BE92" i="10"/>
  <c r="BG92" i="10" s="1"/>
  <c r="BE88" i="10"/>
  <c r="BG88" i="10" s="1"/>
  <c r="BE84" i="10"/>
  <c r="BG84" i="10" s="1"/>
  <c r="BE80" i="10"/>
  <c r="BG80" i="10" s="1"/>
  <c r="BE76" i="10"/>
  <c r="BG76" i="10" s="1"/>
  <c r="BE72" i="10"/>
  <c r="BG72" i="10" s="1"/>
  <c r="BE68" i="10"/>
  <c r="BG68" i="10" s="1"/>
  <c r="BE64" i="10"/>
  <c r="BG64" i="10" s="1"/>
  <c r="BE60" i="10"/>
  <c r="BG60" i="10" s="1"/>
  <c r="BE56" i="10"/>
  <c r="BG56" i="10" s="1"/>
  <c r="BE52" i="10"/>
  <c r="BG52" i="10" s="1"/>
  <c r="BE48" i="10"/>
  <c r="BG48" i="10" s="1"/>
  <c r="BE44" i="10"/>
  <c r="BG44" i="10" s="1"/>
  <c r="BE40" i="10"/>
  <c r="BG40" i="10" s="1"/>
  <c r="BE36" i="10"/>
  <c r="BG36" i="10" s="1"/>
  <c r="BE32" i="10"/>
  <c r="BG32" i="10" s="1"/>
  <c r="BE28" i="10"/>
  <c r="BG28" i="10" s="1"/>
  <c r="BE24" i="10"/>
  <c r="BG24" i="10" s="1"/>
  <c r="BE20" i="10"/>
  <c r="BG20" i="10" s="1"/>
  <c r="BE16" i="10"/>
  <c r="BG16" i="10" s="1"/>
  <c r="BE12" i="10"/>
  <c r="BG12" i="10" s="1"/>
  <c r="BE8" i="10"/>
  <c r="BG8" i="10" s="1"/>
  <c r="BE99" i="10"/>
  <c r="BG99" i="10" s="1"/>
  <c r="BE67" i="10"/>
  <c r="BG67" i="10" s="1"/>
  <c r="BE37" i="10"/>
  <c r="BG37" i="10" s="1"/>
  <c r="BE13" i="10"/>
  <c r="BG13" i="10" s="1"/>
  <c r="BE97" i="10"/>
  <c r="BG97" i="10" s="1"/>
  <c r="BE87" i="10"/>
  <c r="BG87" i="10" s="1"/>
  <c r="BE77" i="10"/>
  <c r="BG77" i="10" s="1"/>
  <c r="BE65" i="10"/>
  <c r="BG65" i="10" s="1"/>
  <c r="BE55" i="10"/>
  <c r="BG55" i="10" s="1"/>
  <c r="BE43" i="10"/>
  <c r="BG43" i="10" s="1"/>
  <c r="BE33" i="10"/>
  <c r="BG33" i="10" s="1"/>
  <c r="BE23" i="10"/>
  <c r="BG23" i="10" s="1"/>
  <c r="BE98" i="10"/>
  <c r="BG98" i="10" s="1"/>
  <c r="BE90" i="10"/>
  <c r="BG90" i="10" s="1"/>
  <c r="BE82" i="10"/>
  <c r="BG82" i="10" s="1"/>
  <c r="BE74" i="10"/>
  <c r="BG74" i="10" s="1"/>
  <c r="BE66" i="10"/>
  <c r="BG66" i="10" s="1"/>
  <c r="BE58" i="10"/>
  <c r="BG58" i="10" s="1"/>
  <c r="BE50" i="10"/>
  <c r="BG50" i="10" s="1"/>
  <c r="BE42" i="10"/>
  <c r="BG42" i="10" s="1"/>
  <c r="BE34" i="10"/>
  <c r="BG34" i="10" s="1"/>
  <c r="BE26" i="10"/>
  <c r="BG26" i="10" s="1"/>
  <c r="BE18" i="10"/>
  <c r="BG18" i="10" s="1"/>
  <c r="BE10" i="10"/>
  <c r="BG10" i="10" s="1"/>
  <c r="BE53" i="10"/>
  <c r="BG53" i="10" s="1"/>
  <c r="BE9" i="10"/>
  <c r="BG9" i="10" s="1"/>
  <c r="BE81" i="10"/>
  <c r="BG81" i="10" s="1"/>
  <c r="BE59" i="10"/>
  <c r="BG59" i="10" s="1"/>
  <c r="BE39" i="10"/>
  <c r="BG39" i="10" s="1"/>
  <c r="BE17" i="10"/>
  <c r="BG17" i="10" s="1"/>
  <c r="BE86" i="10"/>
  <c r="BG86" i="10" s="1"/>
  <c r="BE70" i="10"/>
  <c r="BG70" i="10" s="1"/>
  <c r="BE54" i="10"/>
  <c r="BG54" i="10" s="1"/>
  <c r="BE38" i="10"/>
  <c r="BG38" i="10" s="1"/>
  <c r="BE22" i="10"/>
  <c r="BG22" i="10" s="1"/>
  <c r="BE6" i="10"/>
  <c r="BG6" i="10" s="1"/>
  <c r="BE85" i="10"/>
  <c r="BG85" i="10" s="1"/>
  <c r="BE19" i="10"/>
  <c r="BG19" i="10" s="1"/>
  <c r="BE93" i="10"/>
  <c r="BG93" i="10" s="1"/>
  <c r="BE71" i="10"/>
  <c r="BG71" i="10" s="1"/>
  <c r="BE49" i="10"/>
  <c r="BG49" i="10" s="1"/>
  <c r="BE29" i="10"/>
  <c r="BG29" i="10" s="1"/>
  <c r="BE94" i="10"/>
  <c r="BG94" i="10" s="1"/>
  <c r="BE78" i="10"/>
  <c r="BG78" i="10" s="1"/>
  <c r="BE62" i="10"/>
  <c r="BG62" i="10" s="1"/>
  <c r="BE46" i="10"/>
  <c r="BG46" i="10" s="1"/>
  <c r="BE30" i="10"/>
  <c r="BG30" i="10" s="1"/>
  <c r="BE14" i="10"/>
  <c r="BG14" i="10" s="1"/>
  <c r="BF33" i="10"/>
  <c r="BF94" i="10"/>
  <c r="BF57" i="10"/>
  <c r="BF49" i="10"/>
  <c r="BF41" i="10"/>
  <c r="BF30" i="10"/>
  <c r="BF28" i="10"/>
  <c r="BF22" i="10"/>
  <c r="BF14" i="10"/>
  <c r="BF10" i="10"/>
  <c r="BF6" i="10"/>
  <c r="BF82" i="10"/>
  <c r="BF72" i="10"/>
  <c r="BF53" i="10"/>
  <c r="BF7" i="10"/>
  <c r="BF97" i="10"/>
  <c r="BF92" i="10"/>
  <c r="BF81" i="10"/>
  <c r="BF76" i="10"/>
  <c r="BF65" i="10"/>
  <c r="BF58" i="10"/>
  <c r="BF52" i="10"/>
  <c r="BF47" i="10"/>
  <c r="BF44" i="10"/>
  <c r="BF42" i="10"/>
  <c r="BF36" i="10"/>
  <c r="BF89" i="10"/>
  <c r="BF37" i="10"/>
  <c r="BF25" i="10"/>
  <c r="BF17" i="10"/>
  <c r="BF9" i="10"/>
  <c r="BF73" i="10"/>
  <c r="BF62" i="10"/>
  <c r="BF51" i="10"/>
  <c r="BF40" i="10"/>
</calcChain>
</file>

<file path=xl/sharedStrings.xml><?xml version="1.0" encoding="utf-8"?>
<sst xmlns="http://schemas.openxmlformats.org/spreadsheetml/2006/main" count="587" uniqueCount="404">
  <si>
    <t>Maximum winding temperature is 155°C.  Thermal protection device may be at a lower temperature.</t>
  </si>
  <si>
    <t>These ratings are valid for Parker Hannifin Drives.  Other drives may not achieve the same ratings.</t>
  </si>
  <si>
    <t>±10%</t>
  </si>
  <si>
    <t>±30% @ 1kHz</t>
  </si>
  <si>
    <t>Reference only</t>
  </si>
  <si>
    <t>The winding temperature at the motor rated speed may be lower than the winding maximum due to feedback or amplifier limitations</t>
  </si>
  <si>
    <t>Measured Lead to Lead</t>
  </si>
  <si>
    <t>See motor rating infromation for motor detail on the assumed thermal situation of the motor</t>
  </si>
  <si>
    <t>The Gearbox may have additional and significant losses, especially at high speed opration. The motor may need to be derated by increase the assumed ambient temperature or reducing the thermal resistance of the motor.</t>
  </si>
  <si>
    <t>Reference Only.</t>
  </si>
  <si>
    <t>Refer to the product literature for IP rating.</t>
  </si>
  <si>
    <t>Rating data is calculated at the maximum continous output power point.</t>
  </si>
  <si>
    <t>Gearbox Only</t>
  </si>
  <si>
    <t>Gearbox Page Footnotes:</t>
  </si>
  <si>
    <t>Motor Page Footnotes:</t>
  </si>
  <si>
    <t xml:space="preserve">PLEASE NOTE: The information contained in this document may be confidential or privileged. It only should be used or disseminated for the purpose of conducting business with Parker. </t>
  </si>
  <si>
    <t>This document contains a simulation of a motor and amplifier and possibly other components.  The simulation is for reference only.  Performance can not be guaranteed until tested and verified. Results can vary significantly if the assumption made while preparing the simulation do not match the real system.  Such things as duty cycle, ambient temperatures, and heat management can cause significant derating.</t>
  </si>
  <si>
    <t>Application Notes:</t>
  </si>
  <si>
    <t>Prepared By:</t>
  </si>
  <si>
    <t>Errors and Warnings:</t>
  </si>
  <si>
    <t>kHz</t>
  </si>
  <si>
    <t>Amplifier Switching Frequency</t>
  </si>
  <si>
    <t>Ipa(rms)</t>
  </si>
  <si>
    <t>Amplifier Peak Current</t>
  </si>
  <si>
    <t>Ica(rms)</t>
  </si>
  <si>
    <t>Amplifier Continuous Current</t>
  </si>
  <si>
    <t>Volts DC</t>
  </si>
  <si>
    <t>Amplifier Bus Voltage</t>
  </si>
  <si>
    <t>IP40 - IP65</t>
  </si>
  <si>
    <t>IP</t>
  </si>
  <si>
    <t>Environmental Protection Rating</t>
  </si>
  <si>
    <t>Winding Number</t>
  </si>
  <si>
    <t>Output Power is Electrical Power for negative speeds</t>
  </si>
  <si>
    <t>H</t>
  </si>
  <si>
    <t>UL class</t>
  </si>
  <si>
    <t>F</t>
  </si>
  <si>
    <t>Motor UL Class</t>
  </si>
  <si>
    <t>Output Power is Shaft Power for positive speeds</t>
  </si>
  <si>
    <t>lb</t>
  </si>
  <si>
    <t>weight</t>
  </si>
  <si>
    <t>6,4</t>
  </si>
  <si>
    <t>Motor Weight</t>
  </si>
  <si>
    <t>This chart contains the motor only efficiency.</t>
  </si>
  <si>
    <t>Solid Red is the Peak Resistive Dissipation</t>
  </si>
  <si>
    <t>kg</t>
  </si>
  <si>
    <t>Efficiency is Volts*Amp/Torque*Speed for Negative Speed</t>
  </si>
  <si>
    <t>Dotted Red is the Continuous Resistive Dissipation</t>
  </si>
  <si>
    <t>#poles</t>
  </si>
  <si>
    <t>Np</t>
  </si>
  <si>
    <t>Number of rotor magnet poles</t>
  </si>
  <si>
    <t>Efficiency is Torque*Speed/Volts*Amp for Positive Speed</t>
  </si>
  <si>
    <t>The orange line is the moving losses is the motor</t>
  </si>
  <si>
    <t>in-lb-sec2</t>
  </si>
  <si>
    <t>J</t>
  </si>
  <si>
    <t>Rotor Inertia</t>
  </si>
  <si>
    <t>Blue Solid is the Peak Efficiency</t>
  </si>
  <si>
    <t>Blue Solid is the Peak Output Power</t>
  </si>
  <si>
    <t>Blue Solid is the Peak Current</t>
  </si>
  <si>
    <t>Blue Solid is the Peak Torque</t>
  </si>
  <si>
    <t>kg-m2</t>
  </si>
  <si>
    <t>Blue Dotted is the Continuous Efficiency</t>
  </si>
  <si>
    <t>Blue Dotted is the Continuous Output Power</t>
  </si>
  <si>
    <t>Blue Dotted is the Continuous Current</t>
  </si>
  <si>
    <t>Blue Dotted is the Continuous Torque</t>
  </si>
  <si>
    <t>Nm</t>
  </si>
  <si>
    <t>Tf</t>
  </si>
  <si>
    <t>6,5</t>
  </si>
  <si>
    <t>Rotor Shaft Dynamic Friction</t>
  </si>
  <si>
    <t>Nm/krpm</t>
  </si>
  <si>
    <t>B</t>
  </si>
  <si>
    <t>Rotor Shaft Viscous Damping</t>
  </si>
  <si>
    <t>minutes</t>
  </si>
  <si>
    <r>
      <t>t</t>
    </r>
    <r>
      <rPr>
        <sz val="8"/>
        <rFont val="Arial"/>
        <family val="2"/>
      </rPr>
      <t>thw</t>
    </r>
  </si>
  <si>
    <t>Winding Thermal Time Constant</t>
  </si>
  <si>
    <r>
      <t>t</t>
    </r>
    <r>
      <rPr>
        <sz val="8"/>
        <rFont val="Arial"/>
        <family val="2"/>
      </rPr>
      <t>thc</t>
    </r>
  </si>
  <si>
    <t>Motor Thermal Time Constant</t>
  </si>
  <si>
    <t>°C</t>
  </si>
  <si>
    <t>Twr</t>
  </si>
  <si>
    <t>Winding Temp at Rating</t>
  </si>
  <si>
    <t>Tmax</t>
  </si>
  <si>
    <t>Max Winding Temp</t>
  </si>
  <si>
    <t>Tamb</t>
  </si>
  <si>
    <t>Ambient Temp at Rating</t>
  </si>
  <si>
    <t>Chart units:</t>
  </si>
  <si>
    <t>Chart Units:</t>
  </si>
  <si>
    <t xml:space="preserve">Chart Units: </t>
  </si>
  <si>
    <t>°C/W</t>
  </si>
  <si>
    <t>Rthw-c</t>
  </si>
  <si>
    <t>Winding-Case Thermal Resist</t>
  </si>
  <si>
    <t>Rthw-a</t>
  </si>
  <si>
    <t>Winding-Amb Thermal Resist</t>
  </si>
  <si>
    <t>VAC</t>
  </si>
  <si>
    <t>Vs</t>
  </si>
  <si>
    <t>Max AC Voltage</t>
  </si>
  <si>
    <t>VDCmax</t>
  </si>
  <si>
    <t>Vmbus</t>
  </si>
  <si>
    <t>Max DC bus Voltage</t>
  </si>
  <si>
    <t>mH</t>
  </si>
  <si>
    <t>L</t>
  </si>
  <si>
    <t>5,9</t>
  </si>
  <si>
    <t>Inductance</t>
  </si>
  <si>
    <t>ohm</t>
  </si>
  <si>
    <t>R</t>
  </si>
  <si>
    <t>4,9</t>
  </si>
  <si>
    <t>Resistance</t>
  </si>
  <si>
    <t>Oz*in/Amp DC</t>
  </si>
  <si>
    <t>Kt(trap)</t>
  </si>
  <si>
    <t>Torque Constant</t>
  </si>
  <si>
    <t>Nm/Arms</t>
  </si>
  <si>
    <t>Kt(sine)</t>
  </si>
  <si>
    <t>Vrms/krpm</t>
  </si>
  <si>
    <t>Ke</t>
  </si>
  <si>
    <t>Voltage Constant</t>
  </si>
  <si>
    <t>V/rad/s</t>
  </si>
  <si>
    <t>Kb</t>
  </si>
  <si>
    <t>Arms</t>
  </si>
  <si>
    <t>Ir</t>
  </si>
  <si>
    <t>1,2,3,4</t>
  </si>
  <si>
    <t xml:space="preserve">Current at Rated Speed </t>
  </si>
  <si>
    <t>kW</t>
  </si>
  <si>
    <t>Pout</t>
  </si>
  <si>
    <t>Rated Shaft Output Power</t>
  </si>
  <si>
    <t>oz-in</t>
  </si>
  <si>
    <t>Tr</t>
  </si>
  <si>
    <t>Rated Torque</t>
  </si>
  <si>
    <t>in-lb</t>
  </si>
  <si>
    <t>rpm</t>
  </si>
  <si>
    <t>Sr</t>
  </si>
  <si>
    <t>1,2,3</t>
  </si>
  <si>
    <t>Rated Speed</t>
  </si>
  <si>
    <t>Amps DC</t>
  </si>
  <si>
    <t>Ipk(trap)</t>
  </si>
  <si>
    <t>Peak Current</t>
  </si>
  <si>
    <t>Ipk(rms)</t>
  </si>
  <si>
    <t>Tpk</t>
  </si>
  <si>
    <t xml:space="preserve">Peak Torque </t>
  </si>
  <si>
    <t>Ics(trap)</t>
  </si>
  <si>
    <t>Stall Current Continuous</t>
  </si>
  <si>
    <t>Ics(rms)</t>
  </si>
  <si>
    <t>Tcs</t>
  </si>
  <si>
    <t>Stall Torque Continuous</t>
  </si>
  <si>
    <t>Torque Speed Data Page Name:</t>
  </si>
  <si>
    <t>Value</t>
  </si>
  <si>
    <t>Units</t>
  </si>
  <si>
    <t>Symbol</t>
  </si>
  <si>
    <t>Notes</t>
  </si>
  <si>
    <t>Description</t>
  </si>
  <si>
    <t>Motor Thermal Test Condition</t>
  </si>
  <si>
    <t>Amplifier Model Number</t>
  </si>
  <si>
    <t>Motor Model Number</t>
  </si>
  <si>
    <t>Combined Motor and Amplifier Specification Sheet</t>
  </si>
  <si>
    <t>n/a</t>
  </si>
  <si>
    <t>AppNotes</t>
  </si>
  <si>
    <t>User</t>
  </si>
  <si>
    <t>Time</t>
  </si>
  <si>
    <t>Date</t>
  </si>
  <si>
    <t>Ver 6.03.006 Servo Motor Torque-Speed and Thermal Model by SRH</t>
  </si>
  <si>
    <t>Volt Limit Type</t>
  </si>
  <si>
    <t>Warnings and Error Messages</t>
  </si>
  <si>
    <t>N/A</t>
  </si>
  <si>
    <t>The Max time at 3x Rated Current Starting at 60c</t>
  </si>
  <si>
    <t>Seconds</t>
  </si>
  <si>
    <t>Not Implemented</t>
  </si>
  <si>
    <t>The Max time at 2x Rated Current Starting at 60c</t>
  </si>
  <si>
    <t>Temp of Case at Rated TS</t>
  </si>
  <si>
    <t>deg C</t>
  </si>
  <si>
    <t>Temp of Winding at Rated TS</t>
  </si>
  <si>
    <t>Rated Current</t>
  </si>
  <si>
    <t>Amps Sine Peak</t>
  </si>
  <si>
    <t>Rated Power</t>
  </si>
  <si>
    <t>Watts</t>
  </si>
  <si>
    <t>Oz*in</t>
  </si>
  <si>
    <t>RPM</t>
  </si>
  <si>
    <t>Amps Six State</t>
  </si>
  <si>
    <t>Cont Stall Current</t>
  </si>
  <si>
    <t>Peak Torque</t>
  </si>
  <si>
    <t>Stall Torque</t>
  </si>
  <si>
    <t>oz*in*sec^2</t>
  </si>
  <si>
    <t>Lbs</t>
  </si>
  <si>
    <t>Motor Only Weight</t>
  </si>
  <si>
    <t>Winding time constant</t>
  </si>
  <si>
    <t>Motor time constant</t>
  </si>
  <si>
    <t>The Scaled Wire Bundle Orientation</t>
  </si>
  <si>
    <t>unitless</t>
  </si>
  <si>
    <t>Losses in the case due to the fail-safe Brake</t>
  </si>
  <si>
    <t>The Scaled Phase Orientation</t>
  </si>
  <si>
    <t>The Ration of Peak to Cont Torque</t>
  </si>
  <si>
    <t>The Scaled Length of the Endturn</t>
  </si>
  <si>
    <t>Determines if the friction and damping derates the motor</t>
  </si>
  <si>
    <t>The Scaled Length of the stator Stack</t>
  </si>
  <si>
    <t>Number of magnet poles on the rotor</t>
  </si>
  <si>
    <t>The Scaled number of wire in hand for the winding</t>
  </si>
  <si>
    <t>The Scaled Number of wire insulation Layers</t>
  </si>
  <si>
    <t>Ambient Air Temp around motor.</t>
  </si>
  <si>
    <t>Deg C</t>
  </si>
  <si>
    <t>The Scaled Slot Fill Calculation</t>
  </si>
  <si>
    <t>unitLess</t>
  </si>
  <si>
    <t>Rated Winding Temperature</t>
  </si>
  <si>
    <t>The Scaled Effective Wire Guage</t>
  </si>
  <si>
    <t>AWG</t>
  </si>
  <si>
    <t>Max Winding Temperature</t>
  </si>
  <si>
    <t>The Scaled Number of turns of wire per Phase</t>
  </si>
  <si>
    <t>Rotor Dynamic Friction</t>
  </si>
  <si>
    <t>oz*in</t>
  </si>
  <si>
    <t>The Original Wire Bundle Orientation</t>
  </si>
  <si>
    <t>Rotor Viscous Damping</t>
  </si>
  <si>
    <t>oz*in/KRPM</t>
  </si>
  <si>
    <t>The Original Phase Orientation</t>
  </si>
  <si>
    <t>Thermal Resistance from wind to case</t>
  </si>
  <si>
    <t>deg C/Watt</t>
  </si>
  <si>
    <t>The Original Length of the Endturn</t>
  </si>
  <si>
    <t>Thermal Resistance from Wind to Amb</t>
  </si>
  <si>
    <t>The Original Length of the stator Stack</t>
  </si>
  <si>
    <t>Motor maximum rated voltage</t>
  </si>
  <si>
    <t>Volts</t>
  </si>
  <si>
    <t>The Original number of wire in hand for the winding</t>
  </si>
  <si>
    <t>Motor rotor Inertia</t>
  </si>
  <si>
    <t>The Original number of wire insulation Layers</t>
  </si>
  <si>
    <t>Minimum Lead to lead Inductance of the motor</t>
  </si>
  <si>
    <t>Henries</t>
  </si>
  <si>
    <t>The Original Slot Fill Calculation</t>
  </si>
  <si>
    <t>The Original Motor Name</t>
  </si>
  <si>
    <t>text</t>
  </si>
  <si>
    <t>Cold lead to lead Resistance of the motor</t>
  </si>
  <si>
    <t>Ohms</t>
  </si>
  <si>
    <t>The Original Effective Wire Guage</t>
  </si>
  <si>
    <t>Motor lead to lead voltage constant</t>
  </si>
  <si>
    <t>Volts/Rad/s</t>
  </si>
  <si>
    <t>The Original Number of turns of wire per Phase</t>
  </si>
  <si>
    <t>Orginal Values do not apply if Scaled Values are Present</t>
  </si>
  <si>
    <t>Motor Description</t>
  </si>
  <si>
    <t xml:space="preserve">Units </t>
  </si>
  <si>
    <t xml:space="preserve">Description </t>
  </si>
  <si>
    <t>Winding Data</t>
  </si>
  <si>
    <t>Raw Motor Information</t>
  </si>
  <si>
    <t>Peak Amplifier Current</t>
  </si>
  <si>
    <t>Amps Peak of Sine</t>
  </si>
  <si>
    <t>Continous Amplifier Current</t>
  </si>
  <si>
    <t>Amplifier Switching Freqency</t>
  </si>
  <si>
    <t>Hz</t>
  </si>
  <si>
    <t>Amplifier Max Bus Voltage</t>
  </si>
  <si>
    <t xml:space="preserve"> </t>
  </si>
  <si>
    <t>Raw Drive Information</t>
  </si>
  <si>
    <t>Main Chart Title</t>
  </si>
  <si>
    <t>Note: Use the Macro buttons on the Spec page to change the plot units.</t>
  </si>
  <si>
    <t>Rads/s</t>
  </si>
  <si>
    <t>RPS</t>
  </si>
  <si>
    <t>N*m</t>
  </si>
  <si>
    <t>Horse Power</t>
  </si>
  <si>
    <t>Amps Six-State</t>
  </si>
  <si>
    <t>ft*lb</t>
  </si>
  <si>
    <t>KiloWatts</t>
  </si>
  <si>
    <t>Amps RMS</t>
  </si>
  <si>
    <t>in*lbs</t>
  </si>
  <si>
    <t>Conv Value</t>
  </si>
  <si>
    <t>Unit Selection</t>
  </si>
  <si>
    <t>Unit Selection Information</t>
  </si>
  <si>
    <t>X-Axis</t>
  </si>
  <si>
    <t>Percent</t>
  </si>
  <si>
    <t>Cont Current</t>
  </si>
  <si>
    <t>Cont Torque</t>
  </si>
  <si>
    <t>Peak Resistive Losses</t>
  </si>
  <si>
    <t>Cont Resistive Loses</t>
  </si>
  <si>
    <t>Y-Axis Lable</t>
  </si>
  <si>
    <t>Moving Losses</t>
  </si>
  <si>
    <t>Moving Losses (Tf+B*Spd)*spd</t>
  </si>
  <si>
    <t>Peak Efficiency</t>
  </si>
  <si>
    <t>Cont Efficiency</t>
  </si>
  <si>
    <t>Peak Power</t>
  </si>
  <si>
    <t>Cont Power</t>
  </si>
  <si>
    <t xml:space="preserve">Cont Power </t>
  </si>
  <si>
    <t>Peak Torq</t>
  </si>
  <si>
    <t>Cont Torq</t>
  </si>
  <si>
    <t>Speed</t>
  </si>
  <si>
    <t>Amps Peak Sine</t>
  </si>
  <si>
    <t>Amps Peak of sine</t>
  </si>
  <si>
    <t>Lable</t>
  </si>
  <si>
    <t>per oz*in</t>
  </si>
  <si>
    <t>Conversion</t>
  </si>
  <si>
    <t>per Watt</t>
  </si>
  <si>
    <t>per Amps Peak of Sine</t>
  </si>
  <si>
    <t>per RPM</t>
  </si>
  <si>
    <t>Torque  Speed Curves</t>
  </si>
  <si>
    <t>Note:  The lowest efficiency color range actually starts at 0 efficiency.</t>
  </si>
  <si>
    <t>Create a new countour plot manually using your version of Excel.</t>
  </si>
  <si>
    <t xml:space="preserve">If the efficiency data was exported then the data is contained to the rigth. </t>
  </si>
  <si>
    <t>Sorry, due to a contour plot incompatibiliy between Office 2003 and Office 2007 the chart has been deleted.</t>
  </si>
  <si>
    <t>Speed(RPM)</t>
  </si>
  <si>
    <t>Torque(Nm)</t>
  </si>
  <si>
    <t>TSData1</t>
  </si>
  <si>
    <t>Digital</t>
  </si>
  <si>
    <t>Short Circuit analysis: These calculations assume all of the phases are shorted to ground</t>
  </si>
  <si>
    <t>Rotor speed at the phase break frequency</t>
  </si>
  <si>
    <t>rads/s</t>
  </si>
  <si>
    <t>Short Circuit Current</t>
  </si>
  <si>
    <t>N*m/Amps SS</t>
  </si>
  <si>
    <t>Peak Short Circuit Torque</t>
  </si>
  <si>
    <t>Current at Peak Drag Torque</t>
  </si>
  <si>
    <t>Idirect Max</t>
  </si>
  <si>
    <t>Phase Adv Ang w Icont (col D)</t>
  </si>
  <si>
    <t>Phase Adv Ang w I peak (col F)</t>
  </si>
  <si>
    <t>Degrees</t>
  </si>
  <si>
    <t>Bus Voltage</t>
  </si>
  <si>
    <t>Vdc</t>
  </si>
  <si>
    <t>Lump Cir Volts Icont</t>
  </si>
  <si>
    <t>Lump Cir Volts Ipeak</t>
  </si>
  <si>
    <t>BEMF</t>
  </si>
  <si>
    <t>FEA Volts w Icont</t>
  </si>
  <si>
    <t>FEA Volts w Ipeak</t>
  </si>
  <si>
    <t>Vpeaksin</t>
  </si>
  <si>
    <t>Blue Dotted is the Adv Angle w Cont Cur</t>
  </si>
  <si>
    <t>Blue Solid is the Adv Angle w Peak Cur</t>
  </si>
  <si>
    <t>Blue Dotted is the Motor Volts w Cont Cur</t>
  </si>
  <si>
    <t>Blue Solid is the Motor Votls w Peak Cur</t>
  </si>
  <si>
    <t>Red is Motor Back EMF</t>
  </si>
  <si>
    <t>Green is the bus Voltage</t>
  </si>
  <si>
    <t>Orange Dotted is FEA Mtr Volts w Cont I</t>
  </si>
  <si>
    <t>Orange Solid is FEA Mtr Volts w Peak I</t>
  </si>
  <si>
    <t>Refer to the productliterature for IP rating</t>
  </si>
  <si>
    <t>Assumes motor is mounted to an aluminum plate with dimensions of 10" X 10" X 1/4" aluminum plate for 70mm motor frames or smaller, 12" X 12" X 1/2" for 92mm to 115mm, 12" X 12" X 1" for 142mm to 230mm motor frames, and 21"x21"x1 for 270mm to 320mm motor frames</t>
  </si>
  <si>
    <t>W00000</t>
  </si>
  <si>
    <t>Maximum Lead to lead Inductance of the motor</t>
  </si>
  <si>
    <t>750.0</t>
  </si>
  <si>
    <t>180.0</t>
  </si>
  <si>
    <t>140.0</t>
  </si>
  <si>
    <t>Maximum Shaft Speed Mechanical Limit</t>
  </si>
  <si>
    <t>12.00</t>
  </si>
  <si>
    <t>1.000</t>
  </si>
  <si>
    <t>0.000</t>
  </si>
  <si>
    <t>External Water Cooling</t>
  </si>
  <si>
    <t>Additional Weight if Equipped with Brake</t>
  </si>
  <si>
    <t>Additional Inertia if Equipped with Brake</t>
  </si>
  <si>
    <t xml:space="preserve">Rotor Speed at Peak Short Circuit Drag Torque, @Twr </t>
  </si>
  <si>
    <t xml:space="preserve"> RPM</t>
  </si>
  <si>
    <t xml:space="preserve">Max Short Circuit Current, @Twr </t>
  </si>
  <si>
    <t xml:space="preserve"> Amps RMS</t>
  </si>
  <si>
    <t xml:space="preserve">Peak Short Circuit Drag Torque, @Twr </t>
  </si>
  <si>
    <t xml:space="preserve"> Nm</t>
  </si>
  <si>
    <t xml:space="preserve">Current at Peak Drag Torque, @Twr </t>
  </si>
  <si>
    <t>2</t>
  </si>
  <si>
    <t>1</t>
  </si>
  <si>
    <t>5.000</t>
  </si>
  <si>
    <t>10.00</t>
  </si>
  <si>
    <t>Amplifier Min Bus Voltage</t>
  </si>
  <si>
    <t>Battery Peak current</t>
  </si>
  <si>
    <t>Battery cont current</t>
  </si>
  <si>
    <t>Battery Peak Power</t>
  </si>
  <si>
    <t>Battery cont power</t>
  </si>
  <si>
    <t>Battery Cont Power Lim, Torque</t>
  </si>
  <si>
    <t xml:space="preserve">Battery Peak Power lim, Torque </t>
  </si>
  <si>
    <t>Battery Cont Current:</t>
  </si>
  <si>
    <t>Battery Peak Current:</t>
  </si>
  <si>
    <t>Amps</t>
  </si>
  <si>
    <t>Amp E</t>
  </si>
  <si>
    <t>Efficiency Map</t>
  </si>
  <si>
    <t>Iq Map</t>
  </si>
  <si>
    <t>Id Map</t>
  </si>
  <si>
    <t>Losses Map</t>
  </si>
  <si>
    <t>Watts Total</t>
  </si>
  <si>
    <t>GVK142-025L6</t>
  </si>
  <si>
    <t>0.1267</t>
  </si>
  <si>
    <t>0.04635</t>
  </si>
  <si>
    <t>0.000141</t>
  </si>
  <si>
    <t>0.00016</t>
  </si>
  <si>
    <t>0.1544</t>
  </si>
  <si>
    <t>0.3132</t>
  </si>
  <si>
    <t>0.2346</t>
  </si>
  <si>
    <t>1.607</t>
  </si>
  <si>
    <t>3.448</t>
  </si>
  <si>
    <t>40.00</t>
  </si>
  <si>
    <t>1000000</t>
  </si>
  <si>
    <t>400.2</t>
  </si>
  <si>
    <t>100.2</t>
  </si>
  <si>
    <t>4.728</t>
  </si>
  <si>
    <t>1229</t>
  </si>
  <si>
    <t>3427</t>
  </si>
  <si>
    <t>68.88</t>
  </si>
  <si>
    <t>344.4</t>
  </si>
  <si>
    <t>15824</t>
  </si>
  <si>
    <t>1030</t>
  </si>
  <si>
    <t>12049</t>
  </si>
  <si>
    <t>68.17</t>
  </si>
  <si>
    <t>84.98</t>
  </si>
  <si>
    <t xml:space="preserve"> Information - Magnetic Saturation model is enabled for this simulation_x000D_
 Information - A non-standard method of cooling the motor is in use for this simulation_x000D_
 Warning - Motor is water cooled and ambient temperature is below 50_x000D_
 Information - Motor Circuit model with Simply losses is Enabled_x000D_
 Information - Simulation Check Okay._x000D_
</t>
  </si>
  <si>
    <t>October 24, 2016</t>
  </si>
  <si>
    <t>17:19:21</t>
  </si>
  <si>
    <t>Kevin Holloway</t>
  </si>
  <si>
    <t>56.24</t>
  </si>
  <si>
    <t>711.7</t>
  </si>
  <si>
    <t>114.3</t>
  </si>
  <si>
    <t>8.885</t>
  </si>
  <si>
    <t>80.84</t>
  </si>
  <si>
    <t>36.50</t>
  </si>
  <si>
    <t>19.00</t>
  </si>
  <si>
    <t>0.505313762151016</t>
  </si>
  <si>
    <t>0.948</t>
  </si>
  <si>
    <t>1.527</t>
  </si>
  <si>
    <t>Wye</t>
  </si>
  <si>
    <t>P6</t>
  </si>
  <si>
    <t>36.5</t>
  </si>
  <si>
    <t>19</t>
  </si>
  <si>
    <t>0</t>
  </si>
  <si>
    <t>GenericAmp</t>
  </si>
  <si>
    <t>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</si>
</sst>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0"/>
    <numFmt numFmtId="166" formatCode="0.000"/>
    <numFmt numFmtId="167" formatCode="0.000E+00"/>
  </numFmts>
  <fonts count="10" x14ac:knownFonts="1">
    <font>
      <sz val="10"/>
      <name val="Arial"/>
    </font>
    <font>
      <b/>
      <sz val="10"/>
      <name val="Arial"/>
      <family val="2"/>
    </font>
    <font>
      <sz val="10"/>
      <name val="Arial"/>
    </font>
    <font>
      <sz val="8"/>
      <name val="Arial"/>
    </font>
    <font>
      <sz val="12"/>
      <name val="Arial"/>
      <family val="2"/>
    </font>
    <font>
      <sz val="8"/>
      <name val="Arial"/>
      <family val="2"/>
    </font>
    <font>
      <b/>
      <sz val="12"/>
      <name val="Arial"/>
      <family val="2"/>
    </font>
    <font>
      <sz val="14"/>
      <name val="Arial"/>
      <family val="2"/>
    </font>
    <font>
      <sz val="10"/>
      <name val="Arial"/>
      <family val="2"/>
    </font>
    <font>
      <sz val="10"/>
      <color theme="0" tint="-4.9989318521683403E-2"/>
      <name val="Arial"/>
      <family val="2"/>
    </font>
  </fonts>
  <fills count="17">
    <fill>
      <patternFill patternType="none"/>
    </fill>
    <fill>
      <patternFill patternType="gray125"/>
    </fill>
    <fill>
      <patternFill patternType="solid">
        <fgColor indexed="16"/>
        <bgColor indexed="64"/>
      </patternFill>
    </fill>
    <fill>
      <patternFill patternType="solid">
        <fgColor indexed="52"/>
        <bgColor indexed="64"/>
      </patternFill>
    </fill>
    <fill>
      <patternFill patternType="solid">
        <fgColor indexed="48"/>
        <bgColor indexed="64"/>
      </patternFill>
    </fill>
    <fill>
      <patternFill patternType="solid">
        <fgColor indexed="22"/>
        <bgColor indexed="64"/>
      </patternFill>
    </fill>
    <fill>
      <patternFill patternType="solid">
        <fgColor indexed="47"/>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59999389629810485"/>
        <bgColor indexed="64"/>
      </patternFill>
    </fill>
  </fills>
  <borders count="46">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s>
  <cellStyleXfs count="1">
    <xf numFmtId="0" fontId="0" fillId="0" borderId="0"/>
  </cellStyleXfs>
  <cellXfs count="193">
    <xf numFmtId="0" fontId="0" fillId="0" borderId="0" xfId="0"/>
    <xf numFmtId="0" fontId="0" fillId="0" borderId="1" xfId="0" applyBorder="1"/>
    <xf numFmtId="0" fontId="0" fillId="0" borderId="2" xfId="0" applyBorder="1"/>
    <xf numFmtId="0" fontId="0" fillId="0" borderId="3" xfId="0" applyFill="1" applyBorder="1"/>
    <xf numFmtId="0" fontId="0" fillId="0" borderId="4" xfId="0" applyBorder="1" applyAlignment="1">
      <alignment wrapText="1"/>
    </xf>
    <xf numFmtId="0" fontId="0" fillId="0" borderId="2" xfId="0" applyFill="1" applyBorder="1"/>
    <xf numFmtId="0" fontId="0" fillId="0" borderId="5" xfId="0" applyFill="1" applyBorder="1" applyAlignment="1">
      <alignment wrapText="1"/>
    </xf>
    <xf numFmtId="0" fontId="1" fillId="0" borderId="6" xfId="0" applyFont="1" applyBorder="1"/>
    <xf numFmtId="0" fontId="0" fillId="0" borderId="0" xfId="0" applyAlignment="1">
      <alignment wrapText="1"/>
    </xf>
    <xf numFmtId="0" fontId="0" fillId="0" borderId="1" xfId="0" applyBorder="1" applyAlignment="1">
      <alignment wrapText="1"/>
    </xf>
    <xf numFmtId="0" fontId="0" fillId="0" borderId="3" xfId="0" applyBorder="1"/>
    <xf numFmtId="0" fontId="0" fillId="0" borderId="5" xfId="0" applyBorder="1" applyAlignment="1">
      <alignment wrapText="1"/>
    </xf>
    <xf numFmtId="0" fontId="1" fillId="0" borderId="0" xfId="0" applyFont="1" applyAlignment="1">
      <alignment wrapText="1"/>
    </xf>
    <xf numFmtId="0" fontId="0" fillId="0" borderId="0" xfId="0" applyAlignment="1">
      <alignment horizontal="left" vertical="top" wrapText="1"/>
    </xf>
    <xf numFmtId="0" fontId="1" fillId="0" borderId="0" xfId="0" applyFont="1"/>
    <xf numFmtId="0" fontId="0" fillId="0" borderId="7" xfId="0" applyBorder="1"/>
    <xf numFmtId="0" fontId="0" fillId="0" borderId="8" xfId="0" applyBorder="1"/>
    <xf numFmtId="21" fontId="0" fillId="0" borderId="9" xfId="0" applyNumberFormat="1" applyBorder="1" applyAlignment="1">
      <alignment horizontal="left"/>
    </xf>
    <xf numFmtId="14" fontId="0" fillId="0" borderId="9" xfId="0" applyNumberFormat="1" applyBorder="1" applyAlignment="1">
      <alignment horizontal="left"/>
    </xf>
    <xf numFmtId="0" fontId="0" fillId="0" borderId="9" xfId="0" applyBorder="1"/>
    <xf numFmtId="0" fontId="1" fillId="0" borderId="9" xfId="0" applyFont="1" applyBorder="1"/>
    <xf numFmtId="0" fontId="0" fillId="0" borderId="0" xfId="0" applyFill="1" applyBorder="1"/>
    <xf numFmtId="0" fontId="0" fillId="0" borderId="0" xfId="0" applyFill="1" applyBorder="1" applyAlignment="1">
      <alignment horizontal="left"/>
    </xf>
    <xf numFmtId="0" fontId="0" fillId="0" borderId="5" xfId="0" applyFill="1" applyBorder="1"/>
    <xf numFmtId="0" fontId="0" fillId="0" borderId="10" xfId="0" applyFill="1" applyBorder="1"/>
    <xf numFmtId="0" fontId="0" fillId="0" borderId="11" xfId="0" applyFill="1" applyBorder="1" applyAlignment="1">
      <alignment horizontal="left"/>
    </xf>
    <xf numFmtId="0" fontId="0" fillId="0" borderId="12" xfId="0" applyFill="1" applyBorder="1"/>
    <xf numFmtId="0" fontId="0" fillId="0" borderId="7" xfId="0" applyFill="1" applyBorder="1" applyAlignment="1">
      <alignment horizontal="left"/>
    </xf>
    <xf numFmtId="0" fontId="0" fillId="0" borderId="13" xfId="0" applyFill="1" applyBorder="1"/>
    <xf numFmtId="0" fontId="0" fillId="0" borderId="14" xfId="0" applyFill="1" applyBorder="1" applyAlignment="1">
      <alignment horizontal="left"/>
    </xf>
    <xf numFmtId="0" fontId="0" fillId="0" borderId="6" xfId="0" applyFill="1" applyBorder="1"/>
    <xf numFmtId="0" fontId="0" fillId="0" borderId="5" xfId="0" applyFill="1" applyBorder="1" applyAlignment="1">
      <alignment horizontal="right"/>
    </xf>
    <xf numFmtId="0" fontId="3" fillId="0" borderId="10" xfId="0" applyFont="1" applyFill="1" applyBorder="1" applyAlignment="1">
      <alignment horizontal="left"/>
    </xf>
    <xf numFmtId="0" fontId="0" fillId="0" borderId="4" xfId="0" applyFill="1" applyBorder="1" applyAlignment="1">
      <alignment horizontal="right"/>
    </xf>
    <xf numFmtId="0" fontId="3" fillId="0" borderId="12" xfId="0" applyFont="1" applyFill="1" applyBorder="1" applyAlignment="1">
      <alignment horizontal="left"/>
    </xf>
    <xf numFmtId="0" fontId="0" fillId="0" borderId="15" xfId="0" applyFill="1" applyBorder="1" applyAlignment="1">
      <alignment horizontal="right"/>
    </xf>
    <xf numFmtId="0" fontId="0" fillId="0" borderId="16" xfId="0" applyFill="1" applyBorder="1"/>
    <xf numFmtId="0" fontId="3" fillId="0" borderId="17" xfId="0" applyFont="1" applyFill="1" applyBorder="1" applyAlignment="1">
      <alignment horizontal="left"/>
    </xf>
    <xf numFmtId="0" fontId="0" fillId="0" borderId="18" xfId="0" applyFill="1" applyBorder="1"/>
    <xf numFmtId="0" fontId="3" fillId="0" borderId="7" xfId="0" applyFont="1" applyFill="1" applyBorder="1" applyAlignment="1">
      <alignment horizontal="left"/>
    </xf>
    <xf numFmtId="0" fontId="0" fillId="2" borderId="0" xfId="0" applyFill="1"/>
    <xf numFmtId="0" fontId="0" fillId="0" borderId="4" xfId="0" applyFill="1" applyBorder="1"/>
    <xf numFmtId="0" fontId="2" fillId="3" borderId="0" xfId="0" applyFont="1" applyFill="1"/>
    <xf numFmtId="0" fontId="0" fillId="4" borderId="0" xfId="0" applyFill="1"/>
    <xf numFmtId="0" fontId="0" fillId="5" borderId="19" xfId="0" applyFill="1" applyBorder="1"/>
    <xf numFmtId="0" fontId="0" fillId="5" borderId="20" xfId="0" applyFill="1" applyBorder="1"/>
    <xf numFmtId="0" fontId="0" fillId="5" borderId="21" xfId="0" applyFill="1" applyBorder="1"/>
    <xf numFmtId="0" fontId="0" fillId="5" borderId="22" xfId="0" applyFill="1" applyBorder="1"/>
    <xf numFmtId="0" fontId="0" fillId="5" borderId="0" xfId="0" applyFill="1" applyBorder="1"/>
    <xf numFmtId="0" fontId="0" fillId="5" borderId="23" xfId="0" applyFill="1" applyBorder="1"/>
    <xf numFmtId="0" fontId="4" fillId="0" borderId="12" xfId="0" applyFont="1" applyFill="1" applyBorder="1"/>
    <xf numFmtId="0" fontId="0" fillId="5" borderId="24" xfId="0" applyFill="1" applyBorder="1"/>
    <xf numFmtId="0" fontId="0" fillId="5" borderId="25" xfId="0" applyFill="1" applyBorder="1"/>
    <xf numFmtId="0" fontId="0" fillId="5" borderId="26" xfId="0" applyFill="1" applyBorder="1"/>
    <xf numFmtId="0" fontId="0" fillId="0" borderId="12" xfId="0" applyBorder="1"/>
    <xf numFmtId="0" fontId="0" fillId="0" borderId="0" xfId="0" applyFill="1"/>
    <xf numFmtId="0" fontId="0" fillId="0" borderId="0" xfId="0" applyBorder="1"/>
    <xf numFmtId="0" fontId="3" fillId="0" borderId="14" xfId="0" applyFont="1" applyFill="1" applyBorder="1" applyAlignment="1">
      <alignment horizontal="left"/>
    </xf>
    <xf numFmtId="0" fontId="6" fillId="6" borderId="27" xfId="0" applyFont="1" applyFill="1" applyBorder="1"/>
    <xf numFmtId="0" fontId="1" fillId="6" borderId="30" xfId="0" applyFont="1" applyFill="1" applyBorder="1"/>
    <xf numFmtId="0" fontId="1" fillId="6" borderId="32" xfId="0" applyFont="1" applyFill="1" applyBorder="1"/>
    <xf numFmtId="0" fontId="1" fillId="6" borderId="35" xfId="0" applyFont="1" applyFill="1" applyBorder="1"/>
    <xf numFmtId="21" fontId="0" fillId="0" borderId="12" xfId="0" applyNumberFormat="1" applyBorder="1"/>
    <xf numFmtId="15" fontId="0" fillId="0" borderId="12" xfId="0" applyNumberFormat="1" applyBorder="1"/>
    <xf numFmtId="0" fontId="0" fillId="0" borderId="4" xfId="0" applyBorder="1"/>
    <xf numFmtId="0" fontId="0" fillId="0" borderId="2" xfId="0" applyBorder="1" applyAlignment="1">
      <alignment wrapText="1"/>
    </xf>
    <xf numFmtId="2" fontId="0" fillId="0" borderId="2" xfId="0" applyNumberFormat="1" applyBorder="1"/>
    <xf numFmtId="0" fontId="0" fillId="0" borderId="5" xfId="0" applyBorder="1"/>
    <xf numFmtId="0" fontId="0" fillId="0" borderId="10" xfId="0" applyBorder="1"/>
    <xf numFmtId="0" fontId="0" fillId="0" borderId="13" xfId="0" applyBorder="1"/>
    <xf numFmtId="0" fontId="0" fillId="0" borderId="6" xfId="0" applyBorder="1"/>
    <xf numFmtId="165" fontId="0" fillId="0" borderId="2" xfId="0" applyNumberFormat="1" applyBorder="1"/>
    <xf numFmtId="0" fontId="0" fillId="0" borderId="36" xfId="0" applyBorder="1"/>
    <xf numFmtId="0" fontId="0" fillId="0" borderId="37" xfId="0" applyBorder="1"/>
    <xf numFmtId="0" fontId="1" fillId="0" borderId="38" xfId="0" applyFont="1" applyBorder="1"/>
    <xf numFmtId="0" fontId="0" fillId="0" borderId="39" xfId="0" applyBorder="1"/>
    <xf numFmtId="0" fontId="0" fillId="0" borderId="40" xfId="0" applyBorder="1"/>
    <xf numFmtId="0" fontId="0" fillId="0" borderId="41" xfId="0" applyBorder="1"/>
    <xf numFmtId="0" fontId="0" fillId="0" borderId="27" xfId="0" applyBorder="1"/>
    <xf numFmtId="0" fontId="7" fillId="0" borderId="0" xfId="0" applyFont="1"/>
    <xf numFmtId="164" fontId="0" fillId="0" borderId="3" xfId="0" applyNumberFormat="1" applyBorder="1"/>
    <xf numFmtId="164" fontId="0" fillId="0" borderId="2" xfId="0" applyNumberFormat="1" applyBorder="1"/>
    <xf numFmtId="0" fontId="0" fillId="0" borderId="15" xfId="0" applyBorder="1"/>
    <xf numFmtId="0" fontId="0" fillId="0" borderId="16" xfId="0" applyBorder="1"/>
    <xf numFmtId="0" fontId="0" fillId="0" borderId="18" xfId="0" applyBorder="1"/>
    <xf numFmtId="0" fontId="0" fillId="7" borderId="5" xfId="0" applyFill="1" applyBorder="1"/>
    <xf numFmtId="0" fontId="0" fillId="7" borderId="3" xfId="0" applyFill="1" applyBorder="1"/>
    <xf numFmtId="0" fontId="0" fillId="0" borderId="42" xfId="0" applyBorder="1"/>
    <xf numFmtId="0" fontId="0" fillId="7" borderId="43" xfId="0" applyFill="1" applyBorder="1"/>
    <xf numFmtId="0" fontId="0" fillId="7" borderId="4" xfId="0" applyFill="1" applyBorder="1"/>
    <xf numFmtId="0" fontId="0" fillId="7" borderId="12" xfId="0" applyFill="1" applyBorder="1"/>
    <xf numFmtId="0" fontId="0" fillId="7" borderId="2" xfId="0" applyFill="1" applyBorder="1"/>
    <xf numFmtId="0" fontId="0" fillId="0" borderId="43" xfId="0" applyBorder="1"/>
    <xf numFmtId="1" fontId="0" fillId="7" borderId="2" xfId="0" applyNumberFormat="1" applyFill="1" applyBorder="1"/>
    <xf numFmtId="164" fontId="0" fillId="7" borderId="4" xfId="0" applyNumberFormat="1" applyFill="1" applyBorder="1"/>
    <xf numFmtId="164" fontId="0" fillId="7" borderId="12" xfId="0" applyNumberFormat="1" applyFill="1" applyBorder="1"/>
    <xf numFmtId="0" fontId="0" fillId="0" borderId="19" xfId="0" applyBorder="1"/>
    <xf numFmtId="0" fontId="0" fillId="0" borderId="20" xfId="0" applyBorder="1"/>
    <xf numFmtId="0" fontId="0" fillId="0" borderId="21" xfId="0" applyBorder="1"/>
    <xf numFmtId="0" fontId="0" fillId="0" borderId="22" xfId="0" applyBorder="1"/>
    <xf numFmtId="1" fontId="0" fillId="0" borderId="0"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1" fillId="0" borderId="23" xfId="0" applyFont="1" applyBorder="1"/>
    <xf numFmtId="0" fontId="0" fillId="6" borderId="5" xfId="0" applyFill="1" applyBorder="1"/>
    <xf numFmtId="0" fontId="0" fillId="6" borderId="3" xfId="0" applyFill="1" applyBorder="1"/>
    <xf numFmtId="0" fontId="0" fillId="0" borderId="23" xfId="0" applyFill="1" applyBorder="1"/>
    <xf numFmtId="0" fontId="0" fillId="6" borderId="4" xfId="0" applyFill="1" applyBorder="1"/>
    <xf numFmtId="2" fontId="0" fillId="6" borderId="2" xfId="0" applyNumberFormat="1" applyFill="1" applyBorder="1"/>
    <xf numFmtId="0" fontId="0" fillId="6" borderId="1" xfId="0" applyFill="1" applyBorder="1"/>
    <xf numFmtId="0" fontId="0" fillId="6" borderId="6" xfId="0" applyFill="1" applyBorder="1"/>
    <xf numFmtId="0" fontId="0" fillId="6" borderId="15" xfId="0" applyFill="1" applyBorder="1"/>
    <xf numFmtId="0" fontId="0" fillId="6" borderId="18" xfId="0" applyFill="1" applyBorder="1"/>
    <xf numFmtId="0" fontId="0" fillId="6" borderId="0" xfId="0" applyFill="1"/>
    <xf numFmtId="0" fontId="2" fillId="6" borderId="0" xfId="0" applyFont="1" applyFill="1"/>
    <xf numFmtId="0" fontId="0" fillId="6" borderId="2" xfId="0" applyFill="1" applyBorder="1"/>
    <xf numFmtId="0" fontId="0" fillId="0" borderId="1" xfId="0" applyFill="1" applyBorder="1"/>
    <xf numFmtId="0" fontId="0" fillId="7" borderId="1" xfId="0" applyFill="1" applyBorder="1"/>
    <xf numFmtId="0" fontId="0" fillId="7" borderId="6" xfId="0" applyFill="1" applyBorder="1"/>
    <xf numFmtId="0" fontId="0" fillId="7" borderId="13" xfId="0" applyFill="1" applyBorder="1"/>
    <xf numFmtId="0" fontId="0" fillId="0" borderId="44" xfId="0" applyBorder="1"/>
    <xf numFmtId="164" fontId="0" fillId="7" borderId="42" xfId="0" applyNumberFormat="1" applyFill="1" applyBorder="1"/>
    <xf numFmtId="164" fontId="0" fillId="7" borderId="44" xfId="0" applyNumberFormat="1" applyFill="1" applyBorder="1"/>
    <xf numFmtId="1" fontId="0" fillId="7" borderId="43" xfId="0" applyNumberFormat="1" applyFill="1" applyBorder="1"/>
    <xf numFmtId="0" fontId="0" fillId="8" borderId="0" xfId="0" applyFill="1" applyBorder="1"/>
    <xf numFmtId="0" fontId="0" fillId="0" borderId="6" xfId="0" applyBorder="1" applyAlignment="1">
      <alignment wrapText="1"/>
    </xf>
    <xf numFmtId="0" fontId="0" fillId="0" borderId="22" xfId="0" applyBorder="1" applyAlignment="1">
      <alignment wrapText="1"/>
    </xf>
    <xf numFmtId="0" fontId="0" fillId="0" borderId="0" xfId="0" applyBorder="1" applyAlignment="1">
      <alignment wrapText="1"/>
    </xf>
    <xf numFmtId="0" fontId="0" fillId="8" borderId="0" xfId="0" applyFill="1" applyBorder="1" applyAlignment="1">
      <alignment wrapText="1"/>
    </xf>
    <xf numFmtId="0" fontId="0" fillId="0" borderId="23" xfId="0" applyBorder="1" applyAlignment="1">
      <alignment wrapText="1"/>
    </xf>
    <xf numFmtId="0" fontId="0" fillId="0" borderId="6" xfId="0" applyFill="1" applyBorder="1" applyAlignment="1">
      <alignment wrapText="1"/>
    </xf>
    <xf numFmtId="0" fontId="0" fillId="0" borderId="1" xfId="0" applyFill="1" applyBorder="1" applyAlignment="1">
      <alignment wrapText="1"/>
    </xf>
    <xf numFmtId="0" fontId="0" fillId="0" borderId="13" xfId="0" applyFill="1" applyBorder="1" applyAlignment="1">
      <alignment wrapText="1"/>
    </xf>
    <xf numFmtId="0" fontId="0" fillId="0" borderId="13" xfId="0" applyBorder="1" applyAlignment="1">
      <alignment wrapText="1"/>
    </xf>
    <xf numFmtId="0" fontId="0" fillId="8" borderId="0" xfId="0" applyFill="1"/>
    <xf numFmtId="0" fontId="2" fillId="8" borderId="0" xfId="0" applyFont="1" applyFill="1" applyBorder="1"/>
    <xf numFmtId="0" fontId="2" fillId="8" borderId="25" xfId="0" applyFont="1" applyFill="1" applyBorder="1"/>
    <xf numFmtId="1" fontId="0" fillId="0" borderId="0" xfId="0" applyNumberFormat="1"/>
    <xf numFmtId="0" fontId="0" fillId="9" borderId="0" xfId="0" applyFill="1"/>
    <xf numFmtId="1" fontId="0" fillId="5" borderId="0" xfId="0" applyNumberFormat="1" applyFill="1"/>
    <xf numFmtId="0" fontId="2" fillId="9" borderId="0" xfId="0" applyFont="1" applyFill="1"/>
    <xf numFmtId="2" fontId="2" fillId="9" borderId="0" xfId="0" applyNumberFormat="1" applyFont="1" applyFill="1"/>
    <xf numFmtId="1" fontId="2" fillId="9" borderId="0" xfId="0" applyNumberFormat="1" applyFont="1" applyFill="1"/>
    <xf numFmtId="0" fontId="6" fillId="0" borderId="0" xfId="0" applyFont="1"/>
    <xf numFmtId="164" fontId="0" fillId="5" borderId="0" xfId="0" applyNumberFormat="1" applyFill="1"/>
    <xf numFmtId="0" fontId="1" fillId="0" borderId="0" xfId="0" applyFont="1" applyBorder="1"/>
    <xf numFmtId="0" fontId="8" fillId="0" borderId="12" xfId="0" applyFont="1" applyBorder="1"/>
    <xf numFmtId="2" fontId="0" fillId="0" borderId="6" xfId="0" applyNumberFormat="1" applyBorder="1"/>
    <xf numFmtId="1" fontId="0" fillId="0" borderId="2" xfId="0" applyNumberFormat="1" applyBorder="1"/>
    <xf numFmtId="0" fontId="8" fillId="0" borderId="4" xfId="0" applyFont="1" applyFill="1" applyBorder="1"/>
    <xf numFmtId="166" fontId="0" fillId="0" borderId="2" xfId="0" applyNumberFormat="1" applyBorder="1"/>
    <xf numFmtId="0" fontId="8" fillId="0" borderId="5" xfId="0" applyFont="1" applyFill="1" applyBorder="1"/>
    <xf numFmtId="0" fontId="0" fillId="0" borderId="9" xfId="0" applyBorder="1" applyAlignment="1">
      <alignment wrapText="1"/>
    </xf>
    <xf numFmtId="0" fontId="0" fillId="0" borderId="7" xfId="0" applyBorder="1" applyAlignment="1">
      <alignment wrapText="1"/>
    </xf>
    <xf numFmtId="0" fontId="0" fillId="0" borderId="12" xfId="0" applyBorder="1" applyAlignment="1">
      <alignment wrapText="1"/>
    </xf>
    <xf numFmtId="0" fontId="0" fillId="10" borderId="0" xfId="0" applyFill="1"/>
    <xf numFmtId="0" fontId="0" fillId="11" borderId="0" xfId="0" applyFill="1"/>
    <xf numFmtId="0" fontId="0" fillId="12" borderId="0" xfId="0" applyFill="1"/>
    <xf numFmtId="2" fontId="0" fillId="0" borderId="1" xfId="0" applyNumberFormat="1" applyFill="1" applyBorder="1" applyAlignment="1">
      <alignment horizontal="right"/>
    </xf>
    <xf numFmtId="164" fontId="0" fillId="0" borderId="4" xfId="0" applyNumberFormat="1" applyFill="1" applyBorder="1" applyAlignment="1">
      <alignment horizontal="right"/>
    </xf>
    <xf numFmtId="2" fontId="0" fillId="0" borderId="4" xfId="0" applyNumberFormat="1" applyFill="1" applyBorder="1" applyAlignment="1">
      <alignment horizontal="right"/>
    </xf>
    <xf numFmtId="1" fontId="0" fillId="0" borderId="4" xfId="0" applyNumberFormat="1" applyFill="1" applyBorder="1" applyAlignment="1">
      <alignment horizontal="right"/>
    </xf>
    <xf numFmtId="165" fontId="0" fillId="0" borderId="4" xfId="0" applyNumberFormat="1" applyFill="1" applyBorder="1" applyAlignment="1">
      <alignment horizontal="right"/>
    </xf>
    <xf numFmtId="166" fontId="0" fillId="0" borderId="4" xfId="0" applyNumberFormat="1" applyFill="1" applyBorder="1" applyAlignment="1">
      <alignment horizontal="right"/>
    </xf>
    <xf numFmtId="165" fontId="0" fillId="0" borderId="4" xfId="0" applyNumberFormat="1" applyBorder="1" applyAlignment="1">
      <alignment horizontal="right"/>
    </xf>
    <xf numFmtId="167" fontId="0" fillId="0" borderId="4" xfId="0" applyNumberFormat="1" applyFill="1" applyBorder="1" applyAlignment="1">
      <alignment horizontal="right"/>
    </xf>
    <xf numFmtId="1" fontId="0" fillId="0" borderId="1" xfId="0" applyNumberFormat="1" applyFill="1" applyBorder="1" applyAlignment="1">
      <alignment horizontal="right"/>
    </xf>
    <xf numFmtId="0" fontId="0" fillId="13" borderId="0" xfId="0" applyFill="1"/>
    <xf numFmtId="0" fontId="0" fillId="14" borderId="0" xfId="0" applyFill="1"/>
    <xf numFmtId="1" fontId="0" fillId="14" borderId="0" xfId="0" applyNumberFormat="1" applyFill="1"/>
    <xf numFmtId="0" fontId="0" fillId="15" borderId="0" xfId="0" applyFill="1" applyAlignment="1">
      <alignment wrapText="1"/>
    </xf>
    <xf numFmtId="0" fontId="0" fillId="16" borderId="0" xfId="0" applyFill="1"/>
    <xf numFmtId="0" fontId="0" fillId="13" borderId="9" xfId="0" applyFill="1" applyBorder="1"/>
    <xf numFmtId="0" fontId="0" fillId="13" borderId="7" xfId="0" applyFill="1" applyBorder="1"/>
    <xf numFmtId="0" fontId="0" fillId="15" borderId="16" xfId="0" applyFill="1" applyBorder="1" applyAlignment="1">
      <alignment wrapText="1"/>
    </xf>
    <xf numFmtId="0" fontId="9" fillId="0" borderId="0" xfId="0" applyFont="1" applyFill="1" applyBorder="1"/>
    <xf numFmtId="0" fontId="0" fillId="0" borderId="0" xfId="0" applyAlignment="1">
      <alignment horizontal="left" vertical="top" wrapText="1"/>
    </xf>
    <xf numFmtId="0" fontId="0" fillId="0" borderId="29" xfId="0" applyFill="1" applyBorder="1" applyAlignment="1">
      <alignment horizontal="right"/>
    </xf>
    <xf numFmtId="0" fontId="0" fillId="0" borderId="29" xfId="0" applyFill="1" applyBorder="1" applyAlignment="1"/>
    <xf numFmtId="0" fontId="0" fillId="0" borderId="28" xfId="0" applyFill="1" applyBorder="1" applyAlignment="1"/>
    <xf numFmtId="0" fontId="6" fillId="6" borderId="38" xfId="0" applyFont="1" applyFill="1" applyBorder="1" applyAlignment="1">
      <alignment horizontal="center"/>
    </xf>
    <xf numFmtId="0" fontId="6" fillId="6" borderId="37" xfId="0" applyFont="1" applyFill="1" applyBorder="1" applyAlignment="1">
      <alignment horizontal="center"/>
    </xf>
    <xf numFmtId="0" fontId="6" fillId="6" borderId="36" xfId="0" applyFont="1" applyFill="1" applyBorder="1" applyAlignment="1">
      <alignment horizontal="center"/>
    </xf>
    <xf numFmtId="0" fontId="0" fillId="0" borderId="34" xfId="0" applyFill="1" applyBorder="1" applyAlignment="1">
      <alignment horizontal="right"/>
    </xf>
    <xf numFmtId="0" fontId="0" fillId="0" borderId="34" xfId="0" applyFill="1" applyBorder="1" applyAlignment="1"/>
    <xf numFmtId="0" fontId="0" fillId="0" borderId="33" xfId="0" applyFill="1" applyBorder="1" applyAlignment="1"/>
    <xf numFmtId="0" fontId="0" fillId="0" borderId="8" xfId="0" applyFill="1" applyBorder="1" applyAlignment="1">
      <alignment horizontal="right"/>
    </xf>
    <xf numFmtId="0" fontId="0" fillId="0" borderId="8" xfId="0" applyFill="1" applyBorder="1" applyAlignment="1"/>
    <xf numFmtId="0" fontId="0" fillId="0" borderId="31" xfId="0" applyFill="1" applyBorder="1" applyAlignment="1"/>
    <xf numFmtId="0" fontId="0" fillId="0" borderId="45" xfId="0" applyBorder="1" applyAlignment="1"/>
    <xf numFmtId="0" fontId="0" fillId="0" borderId="7" xfId="0" applyBorder="1" applyAlignme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TSData1!$X$20</c:f>
          <c:strCache>
            <c:ptCount val="1"/>
            <c:pt idx="0">
              <c:v> Simulated Torque Speed Curve for a GVK142-025L6 with a GenericAmp at 300VDC</c:v>
            </c:pt>
          </c:strCache>
        </c:strRef>
      </c:tx>
      <c:layout>
        <c:manualLayout>
          <c:xMode val="edge"/>
          <c:yMode val="edge"/>
          <c:x val="0.12537313432835817"/>
          <c:y val="2.9411764705882353E-2"/>
        </c:manualLayout>
      </c:layout>
      <c:overlay val="0"/>
      <c:spPr>
        <a:noFill/>
        <a:ln w="25400">
          <a:noFill/>
        </a:ln>
      </c:spPr>
      <c:txPr>
        <a:bodyPr/>
        <a:lstStyle/>
        <a:p>
          <a:pPr>
            <a:defRPr sz="825"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7611940298507564"/>
          <c:y val="0.15882383353215804"/>
          <c:w val="0.74029850746269044"/>
          <c:h val="0.71764843299715952"/>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TSData1!$I$5:$I$95</c:f>
              <c:numCache>
                <c:formatCode>General</c:formatCode>
                <c:ptCount val="91"/>
                <c:pt idx="0">
                  <c:v>8.6776255766743837</c:v>
                </c:pt>
                <c:pt idx="1">
                  <c:v>8.6740086008097723</c:v>
                </c:pt>
                <c:pt idx="2">
                  <c:v>8.6701455652137671</c:v>
                </c:pt>
                <c:pt idx="3">
                  <c:v>8.6660362890145883</c:v>
                </c:pt>
                <c:pt idx="4">
                  <c:v>8.6616805673043942</c:v>
                </c:pt>
                <c:pt idx="5">
                  <c:v>8.6570781710500082</c:v>
                </c:pt>
                <c:pt idx="6">
                  <c:v>8.652228846992962</c:v>
                </c:pt>
                <c:pt idx="7">
                  <c:v>8.6471323175387624</c:v>
                </c:pt>
                <c:pt idx="8">
                  <c:v>8.6417882806352058</c:v>
                </c:pt>
                <c:pt idx="9">
                  <c:v>8.6361964096397443</c:v>
                </c:pt>
                <c:pt idx="10">
                  <c:v>8.6303563531756122</c:v>
                </c:pt>
                <c:pt idx="11">
                  <c:v>8.6242677349766961</c:v>
                </c:pt>
                <c:pt idx="12">
                  <c:v>8.6179301537209128</c:v>
                </c:pt>
                <c:pt idx="13">
                  <c:v>8.6113431828519094</c:v>
                </c:pt>
                <c:pt idx="14">
                  <c:v>8.6045063703889966</c:v>
                </c:pt>
                <c:pt idx="15">
                  <c:v>8.5974192387249779</c:v>
                </c:pt>
                <c:pt idx="16">
                  <c:v>8.590081284411788</c:v>
                </c:pt>
                <c:pt idx="17">
                  <c:v>8.5824919779336106</c:v>
                </c:pt>
                <c:pt idx="18">
                  <c:v>8.5746507634673197</c:v>
                </c:pt>
                <c:pt idx="19">
                  <c:v>8.5665570586298951</c:v>
                </c:pt>
                <c:pt idx="20">
                  <c:v>8.5582102542126588</c:v>
                </c:pt>
                <c:pt idx="21">
                  <c:v>8.5496097139018925</c:v>
                </c:pt>
                <c:pt idx="22">
                  <c:v>8.540754773985709</c:v>
                </c:pt>
                <c:pt idx="23">
                  <c:v>8.5316447430466447</c:v>
                </c:pt>
                <c:pt idx="24">
                  <c:v>8.5222789016398632</c:v>
                </c:pt>
                <c:pt idx="25">
                  <c:v>8.512656501956398</c:v>
                </c:pt>
                <c:pt idx="26">
                  <c:v>8.502776767471218</c:v>
                </c:pt>
                <c:pt idx="27">
                  <c:v>8.4926388925756093</c:v>
                </c:pt>
                <c:pt idx="28">
                  <c:v>8.4822420421935032</c:v>
                </c:pt>
                <c:pt idx="29">
                  <c:v>8.4715853513813215</c:v>
                </c:pt>
                <c:pt idx="30">
                  <c:v>8.4606679249108403</c:v>
                </c:pt>
                <c:pt idx="31">
                  <c:v>8.449488836834588</c:v>
                </c:pt>
                <c:pt idx="32">
                  <c:v>8.4380471300332829</c:v>
                </c:pt>
                <c:pt idx="33">
                  <c:v>8.4263418157447489</c:v>
                </c:pt>
                <c:pt idx="34">
                  <c:v>8.414371873073808</c:v>
                </c:pt>
                <c:pt idx="35">
                  <c:v>8.4021362484824262</c:v>
                </c:pt>
                <c:pt idx="36">
                  <c:v>8.3896338552596283</c:v>
                </c:pt>
                <c:pt idx="37">
                  <c:v>8.3768635729704215</c:v>
                </c:pt>
                <c:pt idx="38">
                  <c:v>8.3638242468831283</c:v>
                </c:pt>
                <c:pt idx="39">
                  <c:v>8.3505146873743072</c:v>
                </c:pt>
                <c:pt idx="40">
                  <c:v>8.3369336693105787</c:v>
                </c:pt>
                <c:pt idx="41">
                  <c:v>8.3230799314065571</c:v>
                </c:pt>
                <c:pt idx="42">
                  <c:v>8.3089521755579803</c:v>
                </c:pt>
                <c:pt idx="43">
                  <c:v>8.2945490661492318</c:v>
                </c:pt>
                <c:pt idx="44">
                  <c:v>8.2798692293343379</c:v>
                </c:pt>
                <c:pt idx="45">
                  <c:v>8.264911252290382</c:v>
                </c:pt>
                <c:pt idx="46">
                  <c:v>8.2496736824424151</c:v>
                </c:pt>
                <c:pt idx="47">
                  <c:v>8.2341550266587387</c:v>
                </c:pt>
                <c:pt idx="48">
                  <c:v>8.2183537504154671</c:v>
                </c:pt>
                <c:pt idx="49">
                  <c:v>8.2022682769291482</c:v>
                </c:pt>
                <c:pt idx="50">
                  <c:v>8.1858969862562283</c:v>
                </c:pt>
                <c:pt idx="51">
                  <c:v>8.1692382143580566</c:v>
                </c:pt>
                <c:pt idx="52">
                  <c:v>8.1522902521300402</c:v>
                </c:pt>
                <c:pt idx="53">
                  <c:v>8.1350513443935029</c:v>
                </c:pt>
                <c:pt idx="54">
                  <c:v>8.1175196888487573</c:v>
                </c:pt>
                <c:pt idx="55">
                  <c:v>8.0996934349877172</c:v>
                </c:pt>
                <c:pt idx="56">
                  <c:v>8.0815706829644736</c:v>
                </c:pt>
                <c:pt idx="57">
                  <c:v>8.0631494824219274</c:v>
                </c:pt>
                <c:pt idx="58">
                  <c:v>8.0444278312727207</c:v>
                </c:pt>
                <c:pt idx="59">
                  <c:v>8.025403674432436</c:v>
                </c:pt>
                <c:pt idx="60">
                  <c:v>8.0060749025029683</c:v>
                </c:pt>
                <c:pt idx="61">
                  <c:v>7.9864393504039262</c:v>
                </c:pt>
                <c:pt idx="62">
                  <c:v>7.9664947959497123</c:v>
                </c:pt>
                <c:pt idx="63">
                  <c:v>7.9462389583698441</c:v>
                </c:pt>
                <c:pt idx="64">
                  <c:v>7.9256694967699435</c:v>
                </c:pt>
                <c:pt idx="65">
                  <c:v>7.9047840085306351</c:v>
                </c:pt>
                <c:pt idx="66">
                  <c:v>7.8835800276415391</c:v>
                </c:pt>
                <c:pt idx="67">
                  <c:v>7.8620550229672439</c:v>
                </c:pt>
                <c:pt idx="68">
                  <c:v>7.8402063964420456</c:v>
                </c:pt>
                <c:pt idx="69">
                  <c:v>7.8180314811901148</c:v>
                </c:pt>
                <c:pt idx="70">
                  <c:v>7.7955275395673622</c:v>
                </c:pt>
                <c:pt idx="71">
                  <c:v>7.7726917611212976</c:v>
                </c:pt>
                <c:pt idx="72">
                  <c:v>7.749521260464717</c:v>
                </c:pt>
                <c:pt idx="73">
                  <c:v>7.7260130750590319</c:v>
                </c:pt>
                <c:pt idx="74">
                  <c:v>7.7021641629025828</c:v>
                </c:pt>
                <c:pt idx="75">
                  <c:v>7.6779714001191639</c:v>
                </c:pt>
                <c:pt idx="76">
                  <c:v>7.6534315784415918</c:v>
                </c:pt>
                <c:pt idx="77">
                  <c:v>7.6285414025848661</c:v>
                </c:pt>
                <c:pt idx="78">
                  <c:v>7.6032974875031334</c:v>
                </c:pt>
                <c:pt idx="79">
                  <c:v>7.577696355524222</c:v>
                </c:pt>
                <c:pt idx="80">
                  <c:v>7.5517344333552883</c:v>
                </c:pt>
                <c:pt idx="81">
                  <c:v>7.5254080489524533</c:v>
                </c:pt>
                <c:pt idx="82">
                  <c:v>7.4987134282470427</c:v>
                </c:pt>
                <c:pt idx="83">
                  <c:v>7.4716466917205171</c:v>
                </c:pt>
                <c:pt idx="84">
                  <c:v>7.4442038508195116</c:v>
                </c:pt>
                <c:pt idx="85">
                  <c:v>7.4163808042019896</c:v>
                </c:pt>
                <c:pt idx="86">
                  <c:v>7.3881733338048772</c:v>
                </c:pt>
                <c:pt idx="87">
                  <c:v>7.3595771007227331</c:v>
                </c:pt>
                <c:pt idx="88">
                  <c:v>7.3305876408865212</c:v>
                </c:pt>
                <c:pt idx="89">
                  <c:v>7.3012003605305091</c:v>
                </c:pt>
                <c:pt idx="90">
                  <c:v>7.2714105314347339</c:v>
                </c:pt>
              </c:numCache>
            </c:numRef>
          </c:yVal>
          <c:smooth val="0"/>
          <c:extLst>
            <c:ext xmlns:c16="http://schemas.microsoft.com/office/drawing/2014/chart" uri="{C3380CC4-5D6E-409C-BE32-E72D297353CC}">
              <c16:uniqueId val="{00000000-B8FD-4DF9-B2A0-809403A2D996}"/>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TSData1!$J$5:$J$95</c:f>
              <c:numCache>
                <c:formatCode>General</c:formatCode>
                <c:ptCount val="91"/>
                <c:pt idx="0">
                  <c:v>24.204824254816423</c:v>
                </c:pt>
                <c:pt idx="1">
                  <c:v>24.202755790860092</c:v>
                </c:pt>
                <c:pt idx="2">
                  <c:v>24.200676288230515</c:v>
                </c:pt>
                <c:pt idx="3">
                  <c:v>24.198585746637015</c:v>
                </c:pt>
                <c:pt idx="4">
                  <c:v>24.196484165750714</c:v>
                </c:pt>
                <c:pt idx="5">
                  <c:v>24.194371545204454</c:v>
                </c:pt>
                <c:pt idx="6">
                  <c:v>24.192247884592799</c:v>
                </c:pt>
                <c:pt idx="7">
                  <c:v>24.190113183472075</c:v>
                </c:pt>
                <c:pt idx="8">
                  <c:v>24.187967441360286</c:v>
                </c:pt>
                <c:pt idx="9">
                  <c:v>24.185810657737179</c:v>
                </c:pt>
                <c:pt idx="10">
                  <c:v>24.183642832044193</c:v>
                </c:pt>
                <c:pt idx="11">
                  <c:v>24.181463963684447</c:v>
                </c:pt>
                <c:pt idx="12">
                  <c:v>24.179274052022755</c:v>
                </c:pt>
                <c:pt idx="13">
                  <c:v>24.177073096385605</c:v>
                </c:pt>
                <c:pt idx="14">
                  <c:v>24.174861096061132</c:v>
                </c:pt>
                <c:pt idx="15">
                  <c:v>24.172638050299131</c:v>
                </c:pt>
                <c:pt idx="16">
                  <c:v>24.17040395831102</c:v>
                </c:pt>
                <c:pt idx="17">
                  <c:v>24.168158819269848</c:v>
                </c:pt>
                <c:pt idx="18">
                  <c:v>24.165902632310246</c:v>
                </c:pt>
                <c:pt idx="19">
                  <c:v>24.163635396528473</c:v>
                </c:pt>
                <c:pt idx="20">
                  <c:v>24.16135711098234</c:v>
                </c:pt>
                <c:pt idx="21">
                  <c:v>24.15906777469122</c:v>
                </c:pt>
                <c:pt idx="22">
                  <c:v>24.156767386636016</c:v>
                </c:pt>
                <c:pt idx="23">
                  <c:v>24.154455945759178</c:v>
                </c:pt>
                <c:pt idx="24">
                  <c:v>24.152133450964651</c:v>
                </c:pt>
                <c:pt idx="25">
                  <c:v>24.149799901117866</c:v>
                </c:pt>
                <c:pt idx="26">
                  <c:v>24.14745529504572</c:v>
                </c:pt>
                <c:pt idx="27">
                  <c:v>24.14509963153656</c:v>
                </c:pt>
                <c:pt idx="28">
                  <c:v>24.142732909340157</c:v>
                </c:pt>
                <c:pt idx="29">
                  <c:v>24.140355127167691</c:v>
                </c:pt>
                <c:pt idx="30">
                  <c:v>24.137966283691711</c:v>
                </c:pt>
                <c:pt idx="31">
                  <c:v>24.135566377546127</c:v>
                </c:pt>
                <c:pt idx="32">
                  <c:v>24.133155407326207</c:v>
                </c:pt>
                <c:pt idx="33">
                  <c:v>24.130733371588484</c:v>
                </c:pt>
                <c:pt idx="34">
                  <c:v>24.128300268850825</c:v>
                </c:pt>
                <c:pt idx="35">
                  <c:v>24.125856097592319</c:v>
                </c:pt>
                <c:pt idx="36">
                  <c:v>24.123400856253305</c:v>
                </c:pt>
                <c:pt idx="37">
                  <c:v>24.120934543235325</c:v>
                </c:pt>
                <c:pt idx="38">
                  <c:v>24.118457156901091</c:v>
                </c:pt>
                <c:pt idx="39">
                  <c:v>24.115968695574487</c:v>
                </c:pt>
                <c:pt idx="40">
                  <c:v>24.113469157540479</c:v>
                </c:pt>
                <c:pt idx="41">
                  <c:v>24.110958541045171</c:v>
                </c:pt>
                <c:pt idx="42">
                  <c:v>24.108436844295667</c:v>
                </c:pt>
                <c:pt idx="43">
                  <c:v>24.046914949114825</c:v>
                </c:pt>
                <c:pt idx="44">
                  <c:v>23.705534885175773</c:v>
                </c:pt>
                <c:pt idx="45">
                  <c:v>23.397259243794416</c:v>
                </c:pt>
                <c:pt idx="46">
                  <c:v>23.065104413029758</c:v>
                </c:pt>
                <c:pt idx="47">
                  <c:v>22.905130051345051</c:v>
                </c:pt>
                <c:pt idx="48">
                  <c:v>22.749578052059142</c:v>
                </c:pt>
                <c:pt idx="49">
                  <c:v>22.598233025507167</c:v>
                </c:pt>
                <c:pt idx="50">
                  <c:v>22.309363253965373</c:v>
                </c:pt>
                <c:pt idx="51">
                  <c:v>22.169474518670832</c:v>
                </c:pt>
                <c:pt idx="52">
                  <c:v>22.033054235503155</c:v>
                </c:pt>
                <c:pt idx="53">
                  <c:v>21.77199064290016</c:v>
                </c:pt>
                <c:pt idx="54">
                  <c:v>21.645061731146775</c:v>
                </c:pt>
                <c:pt idx="55">
                  <c:v>21.521020053984802</c:v>
                </c:pt>
                <c:pt idx="56">
                  <c:v>21.399739947109754</c:v>
                </c:pt>
                <c:pt idx="57">
                  <c:v>21.166990950359402</c:v>
                </c:pt>
                <c:pt idx="58">
                  <c:v>21.05330736215091</c:v>
                </c:pt>
                <c:pt idx="59">
                  <c:v>20.941946353753774</c:v>
                </c:pt>
                <c:pt idx="60">
                  <c:v>20.727809169025821</c:v>
                </c:pt>
                <c:pt idx="61">
                  <c:v>20.622859985301503</c:v>
                </c:pt>
                <c:pt idx="62">
                  <c:v>20.519877990317095</c:v>
                </c:pt>
                <c:pt idx="63">
                  <c:v>20.321502435686881</c:v>
                </c:pt>
                <c:pt idx="64">
                  <c:v>20.22396811699862</c:v>
                </c:pt>
                <c:pt idx="65">
                  <c:v>20.128110244442535</c:v>
                </c:pt>
                <c:pt idx="66">
                  <c:v>19.943165157546538</c:v>
                </c:pt>
                <c:pt idx="67">
                  <c:v>19.851962444996524</c:v>
                </c:pt>
                <c:pt idx="68">
                  <c:v>19.762196065401834</c:v>
                </c:pt>
                <c:pt idx="69">
                  <c:v>19.588756619411612</c:v>
                </c:pt>
                <c:pt idx="70">
                  <c:v>19.502988069674185</c:v>
                </c:pt>
                <c:pt idx="71">
                  <c:v>19.337110839343296</c:v>
                </c:pt>
                <c:pt idx="72">
                  <c:v>19.254919012901965</c:v>
                </c:pt>
                <c:pt idx="73">
                  <c:v>19.173834942125023</c:v>
                </c:pt>
                <c:pt idx="74">
                  <c:v>19.016310074779099</c:v>
                </c:pt>
                <c:pt idx="75">
                  <c:v>18.934813691749643</c:v>
                </c:pt>
                <c:pt idx="76">
                  <c:v>18.767500571312866</c:v>
                </c:pt>
                <c:pt idx="77">
                  <c:v>18.680017272442335</c:v>
                </c:pt>
                <c:pt idx="78">
                  <c:v>18.502134798656208</c:v>
                </c:pt>
                <c:pt idx="79">
                  <c:v>18.410010880939105</c:v>
                </c:pt>
                <c:pt idx="80">
                  <c:v>18.316596967345308</c:v>
                </c:pt>
                <c:pt idx="81">
                  <c:v>18.128348694631708</c:v>
                </c:pt>
                <c:pt idx="82">
                  <c:v>18.031728307635415</c:v>
                </c:pt>
                <c:pt idx="83">
                  <c:v>17.837962589594081</c:v>
                </c:pt>
                <c:pt idx="84">
                  <c:v>17.738994822425514</c:v>
                </c:pt>
                <c:pt idx="85">
                  <c:v>17.541274452255951</c:v>
                </c:pt>
                <c:pt idx="86">
                  <c:v>17.440669440845756</c:v>
                </c:pt>
                <c:pt idx="87">
                  <c:v>17.240286649659421</c:v>
                </c:pt>
                <c:pt idx="88">
                  <c:v>17.13863170384564</c:v>
                </c:pt>
                <c:pt idx="89">
                  <c:v>16.936655259048941</c:v>
                </c:pt>
                <c:pt idx="90">
                  <c:v>16.834436080431029</c:v>
                </c:pt>
              </c:numCache>
            </c:numRef>
          </c:yVal>
          <c:smooth val="0"/>
          <c:extLst>
            <c:ext xmlns:c16="http://schemas.microsoft.com/office/drawing/2014/chart" uri="{C3380CC4-5D6E-409C-BE32-E72D297353CC}">
              <c16:uniqueId val="{00000001-B8FD-4DF9-B2A0-809403A2D996}"/>
            </c:ext>
          </c:extLst>
        </c:ser>
        <c:ser>
          <c:idx val="2"/>
          <c:order val="2"/>
          <c:spPr>
            <a:ln w="25400">
              <a:solidFill>
                <a:schemeClr val="accent1">
                  <a:lumMod val="60000"/>
                  <a:lumOff val="40000"/>
                </a:schemeClr>
              </a:solidFill>
              <a:prstDash val="dash"/>
            </a:ln>
          </c:spPr>
          <c:marker>
            <c:symbol val="none"/>
          </c:marker>
          <c:xVal>
            <c:numRef>
              <c:f>TSData1!$H$5:$H$100</c:f>
              <c:numCache>
                <c:formatCode>General</c:formatCode>
                <c:ptCount val="96"/>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TSData1!$BF$5:$BF$100</c:f>
              <c:numCache>
                <c:formatCode>General</c:formatCode>
                <c:ptCount val="96"/>
                <c:pt idx="0">
                  <c:v>-54.279562238023516</c:v>
                </c:pt>
                <c:pt idx="1">
                  <c:v>-40.679962586608205</c:v>
                </c:pt>
                <c:pt idx="2">
                  <c:v>-32.527094577197268</c:v>
                </c:pt>
                <c:pt idx="3">
                  <c:v>-27.094714692915495</c:v>
                </c:pt>
                <c:pt idx="4">
                  <c:v>-23.215843292108094</c:v>
                </c:pt>
                <c:pt idx="5">
                  <c:v>-20.307452787185571</c:v>
                </c:pt>
                <c:pt idx="6">
                  <c:v>-18.045821416786723</c:v>
                </c:pt>
                <c:pt idx="7">
                  <c:v>-16.236798176378151</c:v>
                </c:pt>
                <c:pt idx="8">
                  <c:v>-14.756873093632134</c:v>
                </c:pt>
                <c:pt idx="9">
                  <c:v>-13.523727923562397</c:v>
                </c:pt>
                <c:pt idx="10">
                  <c:v>-12.480385454854568</c:v>
                </c:pt>
                <c:pt idx="11">
                  <c:v>-11.586155044840098</c:v>
                </c:pt>
                <c:pt idx="12">
                  <c:v>-10.811201470196909</c:v>
                </c:pt>
                <c:pt idx="13">
                  <c:v>-10.133151265077405</c:v>
                </c:pt>
                <c:pt idx="14">
                  <c:v>-9.5348972686059277</c:v>
                </c:pt>
                <c:pt idx="15">
                  <c:v>-9.0031352474381823</c:v>
                </c:pt>
                <c:pt idx="16">
                  <c:v>-8.527362791590491</c:v>
                </c:pt>
                <c:pt idx="17">
                  <c:v>-8.0991786366467213</c:v>
                </c:pt>
                <c:pt idx="18">
                  <c:v>-7.7117822400083957</c:v>
                </c:pt>
                <c:pt idx="19">
                  <c:v>-7.3596098756455408</c:v>
                </c:pt>
                <c:pt idx="20">
                  <c:v>-7.038065686795834</c:v>
                </c:pt>
                <c:pt idx="21">
                  <c:v>-6.7433199932336976</c:v>
                </c:pt>
                <c:pt idx="22">
                  <c:v>-6.4721560170579755</c:v>
                </c:pt>
                <c:pt idx="23">
                  <c:v>-6.2218519880674235</c:v>
                </c:pt>
                <c:pt idx="24">
                  <c:v>-5.9900894540860365</c:v>
                </c:pt>
                <c:pt idx="25">
                  <c:v>-5.7748812435187142</c:v>
                </c:pt>
                <c:pt idx="26">
                  <c:v>-5.5745143354592033</c:v>
                </c:pt>
                <c:pt idx="27">
                  <c:v>-5.3875041581868768</c:v>
                </c:pt>
                <c:pt idx="28">
                  <c:v>-5.2125577349210808</c:v>
                </c:pt>
                <c:pt idx="29">
                  <c:v>-5.0485437411122298</c:v>
                </c:pt>
                <c:pt idx="30">
                  <c:v>-4.8944680069045905</c:v>
                </c:pt>
                <c:pt idx="31">
                  <c:v>-4.7494533434970423</c:v>
                </c:pt>
                <c:pt idx="32">
                  <c:v>-4.6127228284656185</c:v>
                </c:pt>
                <c:pt idx="33">
                  <c:v>-4.4835858773534785</c:v>
                </c:pt>
                <c:pt idx="34">
                  <c:v>-4.3614265743062459</c:v>
                </c:pt>
                <c:pt idx="35">
                  <c:v>-4.2456938455433635</c:v>
                </c:pt>
                <c:pt idx="36">
                  <c:v>-4.1358931448461291</c:v>
                </c:pt>
                <c:pt idx="37">
                  <c:v>-4.031579386417512</c:v>
                </c:pt>
                <c:pt idx="38">
                  <c:v>-3.9323509121147961</c:v>
                </c:pt>
                <c:pt idx="39">
                  <c:v>-3.8378443206334549</c:v>
                </c:pt>
                <c:pt idx="40">
                  <c:v>-3.747730018303828</c:v>
                </c:pt>
                <c:pt idx="41">
                  <c:v>-3.6617083766818923</c:v>
                </c:pt>
                <c:pt idx="42">
                  <c:v>-3.5795064025304995</c:v>
                </c:pt>
                <c:pt idx="43">
                  <c:v>-3.5008748422077942</c:v>
                </c:pt>
                <c:pt idx="44">
                  <c:v>-3.4255856557549222</c:v>
                </c:pt>
                <c:pt idx="45">
                  <c:v>-3.3534298067613713</c:v>
                </c:pt>
                <c:pt idx="46">
                  <c:v>-3.2842153228907933</c:v>
                </c:pt>
                <c:pt idx="47">
                  <c:v>-3.2177655891699253</c:v>
                </c:pt>
                <c:pt idx="48">
                  <c:v>-3.1539178420885894</c:v>
                </c:pt>
                <c:pt idx="49">
                  <c:v>-3.0925218374750347</c:v>
                </c:pt>
                <c:pt idx="50">
                  <c:v>-3.0334386691922273</c:v>
                </c:pt>
                <c:pt idx="51">
                  <c:v>-2.9765397191017935</c:v>
                </c:pt>
                <c:pt idx="52">
                  <c:v>-2.9217057215866542</c:v>
                </c:pt>
                <c:pt idx="53">
                  <c:v>-2.8688259283107085</c:v>
                </c:pt>
                <c:pt idx="54">
                  <c:v>-2.8177973609041991</c:v>
                </c:pt>
                <c:pt idx="55">
                  <c:v>-2.7685241409616252</c:v>
                </c:pt>
                <c:pt idx="56">
                  <c:v>-2.7209168881783428</c:v>
                </c:pt>
                <c:pt idx="57">
                  <c:v>-2.6748921786752469</c:v>
                </c:pt>
                <c:pt idx="58">
                  <c:v>-2.6303720566037518</c:v>
                </c:pt>
                <c:pt idx="59">
                  <c:v>-2.5872835930146652</c:v>
                </c:pt>
                <c:pt idx="60">
                  <c:v>-2.5455584867386194</c:v>
                </c:pt>
                <c:pt idx="61">
                  <c:v>-2.5051327026823174</c:v>
                </c:pt>
                <c:pt idx="62">
                  <c:v>-2.4659461435104819</c:v>
                </c:pt>
                <c:pt idx="63">
                  <c:v>-2.4279423511719767</c:v>
                </c:pt>
                <c:pt idx="64">
                  <c:v>-2.3910682351514012</c:v>
                </c:pt>
                <c:pt idx="65">
                  <c:v>-2.3552738246944371</c:v>
                </c:pt>
                <c:pt idx="66">
                  <c:v>-2.3205120425742098</c:v>
                </c:pt>
                <c:pt idx="67">
                  <c:v>-2.2867384982440124</c:v>
                </c:pt>
                <c:pt idx="68">
                  <c:v>-2.2539112984644856</c:v>
                </c:pt>
                <c:pt idx="69">
                  <c:v>-2.2219908737057623</c:v>
                </c:pt>
                <c:pt idx="70">
                  <c:v>-2.1909398188113514</c:v>
                </c:pt>
                <c:pt idx="71">
                  <c:v>-2.1607227465740744</c:v>
                </c:pt>
                <c:pt idx="72">
                  <c:v>-2.1313061530183606</c:v>
                </c:pt>
                <c:pt idx="73">
                  <c:v>-2.1026582933100242</c:v>
                </c:pt>
                <c:pt idx="74">
                  <c:v>-2.0747490673268101</c:v>
                </c:pt>
                <c:pt idx="75">
                  <c:v>-2.047549914022015</c:v>
                </c:pt>
                <c:pt idx="76">
                  <c:v>-2.0210337138013892</c:v>
                </c:pt>
                <c:pt idx="77">
                  <c:v>-1.995174698211434</c:v>
                </c:pt>
                <c:pt idx="78">
                  <c:v>-1.9699483663065014</c:v>
                </c:pt>
                <c:pt idx="79">
                  <c:v>-1.9453314071237653</c:v>
                </c:pt>
                <c:pt idx="80">
                  <c:v>-1.921301627750114</c:v>
                </c:pt>
                <c:pt idx="81">
                  <c:v>-1.8978378865140935</c:v>
                </c:pt>
                <c:pt idx="82">
                  <c:v>-1.8749200308799141</c:v>
                </c:pt>
                <c:pt idx="83">
                  <c:v>-1.8525288396598145</c:v>
                </c:pt>
                <c:pt idx="84">
                  <c:v>-1.8306459691962733</c:v>
                </c:pt>
                <c:pt idx="85">
                  <c:v>-1.8092539031971995</c:v>
                </c:pt>
                <c:pt idx="86">
                  <c:v>-1.7883359059355726</c:v>
                </c:pt>
                <c:pt idx="87">
                  <c:v>-1.7678759785506373</c:v>
                </c:pt>
                <c:pt idx="88">
                  <c:v>-1.7478588182106629</c:v>
                </c:pt>
                <c:pt idx="89">
                  <c:v>-1.7282697799181652</c:v>
                </c:pt>
                <c:pt idx="90">
                  <c:v>-1.7090948407570923</c:v>
                </c:pt>
                <c:pt idx="91">
                  <c:v>0</c:v>
                </c:pt>
                <c:pt idx="92">
                  <c:v>0</c:v>
                </c:pt>
                <c:pt idx="93">
                  <c:v>0</c:v>
                </c:pt>
                <c:pt idx="94">
                  <c:v>0</c:v>
                </c:pt>
                <c:pt idx="95">
                  <c:v>0</c:v>
                </c:pt>
              </c:numCache>
            </c:numRef>
          </c:yVal>
          <c:smooth val="0"/>
          <c:extLst>
            <c:ext xmlns:c16="http://schemas.microsoft.com/office/drawing/2014/chart" uri="{C3380CC4-5D6E-409C-BE32-E72D297353CC}">
              <c16:uniqueId val="{00000002-B8FD-4DF9-B2A0-809403A2D996}"/>
            </c:ext>
          </c:extLst>
        </c:ser>
        <c:ser>
          <c:idx val="3"/>
          <c:order val="3"/>
          <c:spPr>
            <a:ln w="25400">
              <a:solidFill>
                <a:schemeClr val="accent1">
                  <a:lumMod val="60000"/>
                  <a:lumOff val="40000"/>
                </a:schemeClr>
              </a:solidFill>
            </a:ln>
          </c:spPr>
          <c:marker>
            <c:symbol val="none"/>
          </c:marker>
          <c:xVal>
            <c:numRef>
              <c:f>TSData1!$H$5:$H$100</c:f>
              <c:numCache>
                <c:formatCode>General</c:formatCode>
                <c:ptCount val="96"/>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TSData1!$BG$5:$BG$100</c:f>
              <c:numCache>
                <c:formatCode>General</c:formatCode>
                <c:ptCount val="96"/>
                <c:pt idx="0">
                  <c:v>-54.279562238023516</c:v>
                </c:pt>
                <c:pt idx="1">
                  <c:v>-40.679962586608205</c:v>
                </c:pt>
                <c:pt idx="2">
                  <c:v>-32.527094577197268</c:v>
                </c:pt>
                <c:pt idx="3">
                  <c:v>-27.094714692915495</c:v>
                </c:pt>
                <c:pt idx="4">
                  <c:v>-23.215843292108094</c:v>
                </c:pt>
                <c:pt idx="5">
                  <c:v>-20.307452787185571</c:v>
                </c:pt>
                <c:pt idx="6">
                  <c:v>-18.045821416786723</c:v>
                </c:pt>
                <c:pt idx="7">
                  <c:v>-16.236798176378151</c:v>
                </c:pt>
                <c:pt idx="8">
                  <c:v>-14.756873093632134</c:v>
                </c:pt>
                <c:pt idx="9">
                  <c:v>-13.523727923562397</c:v>
                </c:pt>
                <c:pt idx="10">
                  <c:v>-12.480385454854568</c:v>
                </c:pt>
                <c:pt idx="11">
                  <c:v>-11.586155044840098</c:v>
                </c:pt>
                <c:pt idx="12">
                  <c:v>-10.811201470196909</c:v>
                </c:pt>
                <c:pt idx="13">
                  <c:v>-10.133151265077405</c:v>
                </c:pt>
                <c:pt idx="14">
                  <c:v>-9.5348972686059277</c:v>
                </c:pt>
                <c:pt idx="15">
                  <c:v>-9.0031352474381823</c:v>
                </c:pt>
                <c:pt idx="16">
                  <c:v>-8.527362791590491</c:v>
                </c:pt>
                <c:pt idx="17">
                  <c:v>-8.0991786366467213</c:v>
                </c:pt>
                <c:pt idx="18">
                  <c:v>-7.7117822400083957</c:v>
                </c:pt>
                <c:pt idx="19">
                  <c:v>-7.3596098756455408</c:v>
                </c:pt>
                <c:pt idx="20">
                  <c:v>-7.038065686795834</c:v>
                </c:pt>
                <c:pt idx="21">
                  <c:v>-6.7433199932336976</c:v>
                </c:pt>
                <c:pt idx="22">
                  <c:v>-6.4721560170579755</c:v>
                </c:pt>
                <c:pt idx="23">
                  <c:v>-6.2218519880674235</c:v>
                </c:pt>
                <c:pt idx="24">
                  <c:v>-5.9900894540860365</c:v>
                </c:pt>
                <c:pt idx="25">
                  <c:v>-5.7748812435187142</c:v>
                </c:pt>
                <c:pt idx="26">
                  <c:v>-5.5745143354592033</c:v>
                </c:pt>
                <c:pt idx="27">
                  <c:v>-5.3875041581868768</c:v>
                </c:pt>
                <c:pt idx="28">
                  <c:v>-5.2125577349210808</c:v>
                </c:pt>
                <c:pt idx="29">
                  <c:v>-5.0485437411122298</c:v>
                </c:pt>
                <c:pt idx="30">
                  <c:v>-4.8944680069045905</c:v>
                </c:pt>
                <c:pt idx="31">
                  <c:v>-4.7494533434970423</c:v>
                </c:pt>
                <c:pt idx="32">
                  <c:v>-4.6127228284656185</c:v>
                </c:pt>
                <c:pt idx="33">
                  <c:v>-4.4835858773534785</c:v>
                </c:pt>
                <c:pt idx="34">
                  <c:v>-4.3614265743062459</c:v>
                </c:pt>
                <c:pt idx="35">
                  <c:v>-4.2456938455433635</c:v>
                </c:pt>
                <c:pt idx="36">
                  <c:v>-4.1358931448461291</c:v>
                </c:pt>
                <c:pt idx="37">
                  <c:v>-4.031579386417512</c:v>
                </c:pt>
                <c:pt idx="38">
                  <c:v>-3.9323509121147961</c:v>
                </c:pt>
                <c:pt idx="39">
                  <c:v>-3.8378443206334549</c:v>
                </c:pt>
                <c:pt idx="40">
                  <c:v>-3.747730018303828</c:v>
                </c:pt>
                <c:pt idx="41">
                  <c:v>-3.6617083766818923</c:v>
                </c:pt>
                <c:pt idx="42">
                  <c:v>-3.5795064025304995</c:v>
                </c:pt>
                <c:pt idx="43">
                  <c:v>-3.5008748422077942</c:v>
                </c:pt>
                <c:pt idx="44">
                  <c:v>-3.4255856557549222</c:v>
                </c:pt>
                <c:pt idx="45">
                  <c:v>-3.3534298067613713</c:v>
                </c:pt>
                <c:pt idx="46">
                  <c:v>-3.2842153228907933</c:v>
                </c:pt>
                <c:pt idx="47">
                  <c:v>-3.2177655891699253</c:v>
                </c:pt>
                <c:pt idx="48">
                  <c:v>-3.1539178420885894</c:v>
                </c:pt>
                <c:pt idx="49">
                  <c:v>-3.0925218374750347</c:v>
                </c:pt>
                <c:pt idx="50">
                  <c:v>-3.0334386691922273</c:v>
                </c:pt>
                <c:pt idx="51">
                  <c:v>-2.9765397191017935</c:v>
                </c:pt>
                <c:pt idx="52">
                  <c:v>-2.9217057215866542</c:v>
                </c:pt>
                <c:pt idx="53">
                  <c:v>-2.8688259283107085</c:v>
                </c:pt>
                <c:pt idx="54">
                  <c:v>-2.8177973609041991</c:v>
                </c:pt>
                <c:pt idx="55">
                  <c:v>-2.7685241409616252</c:v>
                </c:pt>
                <c:pt idx="56">
                  <c:v>-2.7209168881783428</c:v>
                </c:pt>
                <c:pt idx="57">
                  <c:v>-2.6748921786752469</c:v>
                </c:pt>
                <c:pt idx="58">
                  <c:v>-2.6303720566037518</c:v>
                </c:pt>
                <c:pt idx="59">
                  <c:v>-2.5872835930146652</c:v>
                </c:pt>
                <c:pt idx="60">
                  <c:v>-2.5455584867386194</c:v>
                </c:pt>
                <c:pt idx="61">
                  <c:v>-2.5051327026823174</c:v>
                </c:pt>
                <c:pt idx="62">
                  <c:v>-2.4659461435104819</c:v>
                </c:pt>
                <c:pt idx="63">
                  <c:v>-2.4279423511719767</c:v>
                </c:pt>
                <c:pt idx="64">
                  <c:v>-2.3910682351514012</c:v>
                </c:pt>
                <c:pt idx="65">
                  <c:v>-2.3552738246944371</c:v>
                </c:pt>
                <c:pt idx="66">
                  <c:v>-2.3205120425742098</c:v>
                </c:pt>
                <c:pt idx="67">
                  <c:v>-2.2867384982440124</c:v>
                </c:pt>
                <c:pt idx="68">
                  <c:v>-2.2539112984644856</c:v>
                </c:pt>
                <c:pt idx="69">
                  <c:v>-2.2219908737057623</c:v>
                </c:pt>
                <c:pt idx="70">
                  <c:v>-2.1909398188113514</c:v>
                </c:pt>
                <c:pt idx="71">
                  <c:v>-2.1607227465740744</c:v>
                </c:pt>
                <c:pt idx="72">
                  <c:v>-2.1313061530183606</c:v>
                </c:pt>
                <c:pt idx="73">
                  <c:v>-2.1026582933100242</c:v>
                </c:pt>
                <c:pt idx="74">
                  <c:v>-2.0747490673268101</c:v>
                </c:pt>
                <c:pt idx="75">
                  <c:v>-2.047549914022015</c:v>
                </c:pt>
                <c:pt idx="76">
                  <c:v>-2.0210337138013892</c:v>
                </c:pt>
                <c:pt idx="77">
                  <c:v>-1.995174698211434</c:v>
                </c:pt>
                <c:pt idx="78">
                  <c:v>-1.9699483663065014</c:v>
                </c:pt>
                <c:pt idx="79">
                  <c:v>-1.9453314071237653</c:v>
                </c:pt>
                <c:pt idx="80">
                  <c:v>-1.921301627750114</c:v>
                </c:pt>
                <c:pt idx="81">
                  <c:v>-1.8978378865140935</c:v>
                </c:pt>
                <c:pt idx="82">
                  <c:v>-1.8749200308799141</c:v>
                </c:pt>
                <c:pt idx="83">
                  <c:v>-1.8525288396598145</c:v>
                </c:pt>
                <c:pt idx="84">
                  <c:v>-1.8306459691962733</c:v>
                </c:pt>
                <c:pt idx="85">
                  <c:v>-1.8092539031971995</c:v>
                </c:pt>
                <c:pt idx="86">
                  <c:v>-1.7883359059355726</c:v>
                </c:pt>
                <c:pt idx="87">
                  <c:v>-1.7678759785506373</c:v>
                </c:pt>
                <c:pt idx="88">
                  <c:v>-1.7478588182106629</c:v>
                </c:pt>
                <c:pt idx="89">
                  <c:v>-1.7282697799181652</c:v>
                </c:pt>
                <c:pt idx="90">
                  <c:v>-1.7090948407570923</c:v>
                </c:pt>
                <c:pt idx="91">
                  <c:v>0</c:v>
                </c:pt>
                <c:pt idx="92">
                  <c:v>0</c:v>
                </c:pt>
                <c:pt idx="93">
                  <c:v>0</c:v>
                </c:pt>
                <c:pt idx="94">
                  <c:v>0</c:v>
                </c:pt>
                <c:pt idx="95">
                  <c:v>0</c:v>
                </c:pt>
              </c:numCache>
            </c:numRef>
          </c:yVal>
          <c:smooth val="0"/>
          <c:extLst>
            <c:ext xmlns:c16="http://schemas.microsoft.com/office/drawing/2014/chart" uri="{C3380CC4-5D6E-409C-BE32-E72D297353CC}">
              <c16:uniqueId val="{00000003-B8FD-4DF9-B2A0-809403A2D996}"/>
            </c:ext>
          </c:extLst>
        </c:ser>
        <c:dLbls>
          <c:showLegendKey val="0"/>
          <c:showVal val="0"/>
          <c:showCatName val="0"/>
          <c:showSerName val="0"/>
          <c:showPercent val="0"/>
          <c:showBubbleSize val="0"/>
        </c:dLbls>
        <c:axId val="163437128"/>
        <c:axId val="163437520"/>
      </c:scatterChart>
      <c:valAx>
        <c:axId val="163437128"/>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776119402985082"/>
              <c:y val="0.92941361741547401"/>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437520"/>
        <c:crossesAt val="0"/>
        <c:crossBetween val="midCat"/>
      </c:valAx>
      <c:valAx>
        <c:axId val="163437520"/>
        <c:scaling>
          <c:orientation val="minMax"/>
          <c:min val="0"/>
        </c:scaling>
        <c:delete val="0"/>
        <c:axPos val="l"/>
        <c:majorGridlines>
          <c:spPr>
            <a:ln w="3175">
              <a:solidFill>
                <a:srgbClr val="000000"/>
              </a:solidFill>
              <a:prstDash val="solid"/>
            </a:ln>
          </c:spPr>
        </c:majorGridlines>
        <c:title>
          <c:tx>
            <c:strRef>
              <c:f>TSData1!$X$3</c:f>
              <c:strCache>
                <c:ptCount val="1"/>
                <c:pt idx="0">
                  <c:v>Torque N*m</c:v>
                </c:pt>
              </c:strCache>
            </c:strRef>
          </c:tx>
          <c:layout>
            <c:manualLayout>
              <c:xMode val="edge"/>
              <c:yMode val="edge"/>
              <c:x val="4.7761194029850913E-2"/>
              <c:y val="0.45098121558334631"/>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4371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Peak and Continuous Current</a:t>
            </a:r>
          </a:p>
        </c:rich>
      </c:tx>
      <c:layout>
        <c:manualLayout>
          <c:xMode val="edge"/>
          <c:yMode val="edge"/>
          <c:x val="0.23492130150397891"/>
          <c:y val="4.1338582677165357E-2"/>
        </c:manualLayout>
      </c:layout>
      <c:overlay val="0"/>
      <c:spPr>
        <a:noFill/>
        <a:ln w="25400">
          <a:noFill/>
        </a:ln>
      </c:spPr>
    </c:title>
    <c:autoTitleDeleted val="0"/>
    <c:plotArea>
      <c:layout>
        <c:manualLayout>
          <c:layoutTarget val="inner"/>
          <c:xMode val="edge"/>
          <c:yMode val="edge"/>
          <c:x val="0.18730216797547194"/>
          <c:y val="0.16732299547378218"/>
          <c:w val="0.72381176776961731"/>
          <c:h val="0.70866209847719563"/>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TSData1!$K$5:$K$95</c:f>
              <c:numCache>
                <c:formatCode>General</c:formatCode>
                <c:ptCount val="91"/>
                <c:pt idx="0">
                  <c:v>79.541258941792151</c:v>
                </c:pt>
                <c:pt idx="1">
                  <c:v>79.526101832984139</c:v>
                </c:pt>
                <c:pt idx="2">
                  <c:v>79.508644892467899</c:v>
                </c:pt>
                <c:pt idx="3">
                  <c:v>79.488886605011785</c:v>
                </c:pt>
                <c:pt idx="4">
                  <c:v>79.466825254025011</c:v>
                </c:pt>
                <c:pt idx="5">
                  <c:v>79.442458920809699</c:v>
                </c:pt>
                <c:pt idx="6">
                  <c:v>79.415785483723496</c:v>
                </c:pt>
                <c:pt idx="7">
                  <c:v>79.386802617251831</c:v>
                </c:pt>
                <c:pt idx="8">
                  <c:v>79.355507790988796</c:v>
                </c:pt>
                <c:pt idx="9">
                  <c:v>79.321898268525615</c:v>
                </c:pt>
                <c:pt idx="10">
                  <c:v>79.285971106245725</c:v>
                </c:pt>
                <c:pt idx="11">
                  <c:v>79.247723152025003</c:v>
                </c:pt>
                <c:pt idx="12">
                  <c:v>79.207151043835907</c:v>
                </c:pt>
                <c:pt idx="13">
                  <c:v>79.16425120825393</c:v>
                </c:pt>
                <c:pt idx="14">
                  <c:v>79.119019858865116</c:v>
                </c:pt>
                <c:pt idx="15">
                  <c:v>79.071452994572667</c:v>
                </c:pt>
                <c:pt idx="16">
                  <c:v>79.021546397800932</c:v>
                </c:pt>
                <c:pt idx="17">
                  <c:v>78.969295632594779</c:v>
                </c:pt>
                <c:pt idx="18">
                  <c:v>78.914696042612803</c:v>
                </c:pt>
                <c:pt idx="19">
                  <c:v>78.857742749011322</c:v>
                </c:pt>
                <c:pt idx="20">
                  <c:v>78.798430648217803</c:v>
                </c:pt>
                <c:pt idx="21">
                  <c:v>78.736754409590674</c:v>
                </c:pt>
                <c:pt idx="22">
                  <c:v>78.672708472963251</c:v>
                </c:pt>
                <c:pt idx="23">
                  <c:v>78.606287046068999</c:v>
                </c:pt>
                <c:pt idx="24">
                  <c:v>78.537484101845223</c:v>
                </c:pt>
                <c:pt idx="25">
                  <c:v>78.466293375612238</c:v>
                </c:pt>
                <c:pt idx="26">
                  <c:v>78.392708362124935</c:v>
                </c:pt>
                <c:pt idx="27">
                  <c:v>78.316722312493127</c:v>
                </c:pt>
                <c:pt idx="28">
                  <c:v>78.238328230967525</c:v>
                </c:pt>
                <c:pt idx="29">
                  <c:v>78.1575188715873</c:v>
                </c:pt>
                <c:pt idx="30">
                  <c:v>78.074286734685572</c:v>
                </c:pt>
                <c:pt idx="31">
                  <c:v>77.98862406324875</c:v>
                </c:pt>
                <c:pt idx="32">
                  <c:v>77.90052283912506</c:v>
                </c:pt>
                <c:pt idx="33">
                  <c:v>77.809974779078374</c:v>
                </c:pt>
                <c:pt idx="34">
                  <c:v>77.716971330681972</c:v>
                </c:pt>
                <c:pt idx="35">
                  <c:v>77.62150366804768</c:v>
                </c:pt>
                <c:pt idx="36">
                  <c:v>77.52356268738491</c:v>
                </c:pt>
                <c:pt idx="37">
                  <c:v>77.423139002384289</c:v>
                </c:pt>
                <c:pt idx="38">
                  <c:v>77.320222939419963</c:v>
                </c:pt>
                <c:pt idx="39">
                  <c:v>77.214804532564571</c:v>
                </c:pt>
                <c:pt idx="40">
                  <c:v>77.106873518410566</c:v>
                </c:pt>
                <c:pt idx="41">
                  <c:v>76.996419330691225</c:v>
                </c:pt>
                <c:pt idx="42">
                  <c:v>76.883431094694146</c:v>
                </c:pt>
                <c:pt idx="43">
                  <c:v>76.767897621460136</c:v>
                </c:pt>
                <c:pt idx="44">
                  <c:v>76.649807401759659</c:v>
                </c:pt>
                <c:pt idx="45">
                  <c:v>76.529148599838621</c:v>
                </c:pt>
                <c:pt idx="46">
                  <c:v>76.405909046925004</c:v>
                </c:pt>
                <c:pt idx="47">
                  <c:v>76.280076234487552</c:v>
                </c:pt>
                <c:pt idx="48">
                  <c:v>76.151637307236882</c:v>
                </c:pt>
                <c:pt idx="49">
                  <c:v>76.020579055859187</c:v>
                </c:pt>
                <c:pt idx="50">
                  <c:v>75.886887909472108</c:v>
                </c:pt>
                <c:pt idx="51">
                  <c:v>75.750549927791923</c:v>
                </c:pt>
                <c:pt idx="52">
                  <c:v>75.611550793000347</c:v>
                </c:pt>
                <c:pt idx="53">
                  <c:v>75.469875801299082</c:v>
                </c:pt>
                <c:pt idx="54">
                  <c:v>75.325509854139142</c:v>
                </c:pt>
                <c:pt idx="55">
                  <c:v>75.178437449111541</c:v>
                </c:pt>
                <c:pt idx="56">
                  <c:v>75.028642670485553</c:v>
                </c:pt>
                <c:pt idx="57">
                  <c:v>74.8761091793791</c:v>
                </c:pt>
                <c:pt idx="58">
                  <c:v>74.72082020354604</c:v>
                </c:pt>
                <c:pt idx="59">
                  <c:v>74.562758526763716</c:v>
                </c:pt>
                <c:pt idx="60">
                  <c:v>74.401906477803109</c:v>
                </c:pt>
                <c:pt idx="61">
                  <c:v>74.238245918963543</c:v>
                </c:pt>
                <c:pt idx="62">
                  <c:v>74.071758234152355</c:v>
                </c:pt>
                <c:pt idx="63">
                  <c:v>73.902424316489032</c:v>
                </c:pt>
                <c:pt idx="64">
                  <c:v>73.730224555412335</c:v>
                </c:pt>
                <c:pt idx="65">
                  <c:v>73.555138823267328</c:v>
                </c:pt>
                <c:pt idx="66">
                  <c:v>73.377146461348531</c:v>
                </c:pt>
                <c:pt idx="67">
                  <c:v>73.196226265373269</c:v>
                </c:pt>
                <c:pt idx="68">
                  <c:v>73.012356470358583</c:v>
                </c:pt>
                <c:pt idx="69">
                  <c:v>72.825514734872741</c:v>
                </c:pt>
                <c:pt idx="70">
                  <c:v>72.63567812463161</c:v>
                </c:pt>
                <c:pt idx="71">
                  <c:v>72.442823095407235</c:v>
                </c:pt>
                <c:pt idx="72">
                  <c:v>72.246925475215306</c:v>
                </c:pt>
                <c:pt idx="73">
                  <c:v>72.047960445744906</c:v>
                </c:pt>
                <c:pt idx="74">
                  <c:v>71.845902522992887</c:v>
                </c:pt>
                <c:pt idx="75">
                  <c:v>71.640725537061897</c:v>
                </c:pt>
                <c:pt idx="76">
                  <c:v>71.432402611079326</c:v>
                </c:pt>
                <c:pt idx="77">
                  <c:v>71.220906139191285</c:v>
                </c:pt>
                <c:pt idx="78">
                  <c:v>71.006207763583063</c:v>
                </c:pt>
                <c:pt idx="79">
                  <c:v>70.788278350474187</c:v>
                </c:pt>
                <c:pt idx="80">
                  <c:v>70.567087965033437</c:v>
                </c:pt>
                <c:pt idx="81">
                  <c:v>70.342605845154665</c:v>
                </c:pt>
                <c:pt idx="82">
                  <c:v>70.114800374031347</c:v>
                </c:pt>
                <c:pt idx="83">
                  <c:v>69.883639051463334</c:v>
                </c:pt>
                <c:pt idx="84">
                  <c:v>69.64908846382427</c:v>
                </c:pt>
                <c:pt idx="85">
                  <c:v>69.411114252614411</c:v>
                </c:pt>
                <c:pt idx="86">
                  <c:v>69.16968108151741</c:v>
                </c:pt>
                <c:pt idx="87">
                  <c:v>68.924752601874644</c:v>
                </c:pt>
                <c:pt idx="88">
                  <c:v>68.676291416484389</c:v>
                </c:pt>
                <c:pt idx="89">
                  <c:v>68.424259041626556</c:v>
                </c:pt>
                <c:pt idx="90">
                  <c:v>68.168615867206839</c:v>
                </c:pt>
              </c:numCache>
            </c:numRef>
          </c:yVal>
          <c:smooth val="0"/>
          <c:extLst>
            <c:ext xmlns:c16="http://schemas.microsoft.com/office/drawing/2014/chart" uri="{C3380CC4-5D6E-409C-BE32-E72D297353CC}">
              <c16:uniqueId val="{00000000-09C0-41CA-84F3-16D524DF435F}"/>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TSData1!$L$5:$L$95</c:f>
              <c:numCache>
                <c:formatCode>General</c:formatCode>
                <c:ptCount val="91"/>
                <c:pt idx="0">
                  <c:v>397.70629470896068</c:v>
                </c:pt>
                <c:pt idx="1">
                  <c:v>397.70326356447674</c:v>
                </c:pt>
                <c:pt idx="2">
                  <c:v>397.69977318288983</c:v>
                </c:pt>
                <c:pt idx="3">
                  <c:v>397.69582355210861</c:v>
                </c:pt>
                <c:pt idx="4">
                  <c:v>397.69141465845001</c:v>
                </c:pt>
                <c:pt idx="5">
                  <c:v>397.68654648663937</c:v>
                </c:pt>
                <c:pt idx="6">
                  <c:v>397.68121901981021</c:v>
                </c:pt>
                <c:pt idx="7">
                  <c:v>397.67543223950361</c:v>
                </c:pt>
                <c:pt idx="8">
                  <c:v>397.66918612566798</c:v>
                </c:pt>
                <c:pt idx="9">
                  <c:v>397.66248065665917</c:v>
                </c:pt>
                <c:pt idx="10">
                  <c:v>397.65531580923937</c:v>
                </c:pt>
                <c:pt idx="11">
                  <c:v>397.64769155857738</c:v>
                </c:pt>
                <c:pt idx="12">
                  <c:v>397.63960787824766</c:v>
                </c:pt>
                <c:pt idx="13">
                  <c:v>397.63106474023004</c:v>
                </c:pt>
                <c:pt idx="14">
                  <c:v>397.62206211490951</c:v>
                </c:pt>
                <c:pt idx="15">
                  <c:v>397.61259997107538</c:v>
                </c:pt>
                <c:pt idx="16">
                  <c:v>397.60267827592071</c:v>
                </c:pt>
                <c:pt idx="17">
                  <c:v>397.59229699504192</c:v>
                </c:pt>
                <c:pt idx="18">
                  <c:v>397.58145609243832</c:v>
                </c:pt>
                <c:pt idx="19">
                  <c:v>397.57015553051099</c:v>
                </c:pt>
                <c:pt idx="20">
                  <c:v>397.55839527006282</c:v>
                </c:pt>
                <c:pt idx="21">
                  <c:v>397.54617527029706</c:v>
                </c:pt>
                <c:pt idx="22">
                  <c:v>397.5334954888171</c:v>
                </c:pt>
                <c:pt idx="23">
                  <c:v>397.52035588162585</c:v>
                </c:pt>
                <c:pt idx="24">
                  <c:v>397.5067564031246</c:v>
                </c:pt>
                <c:pt idx="25">
                  <c:v>397.49269700611251</c:v>
                </c:pt>
                <c:pt idx="26">
                  <c:v>397.47817764178535</c:v>
                </c:pt>
                <c:pt idx="27">
                  <c:v>397.46319825973529</c:v>
                </c:pt>
                <c:pt idx="28">
                  <c:v>397.44775880794964</c:v>
                </c:pt>
                <c:pt idx="29">
                  <c:v>397.43185923280987</c:v>
                </c:pt>
                <c:pt idx="30">
                  <c:v>397.41549947909101</c:v>
                </c:pt>
                <c:pt idx="31">
                  <c:v>397.39867948996033</c:v>
                </c:pt>
                <c:pt idx="32">
                  <c:v>397.38139920697665</c:v>
                </c:pt>
                <c:pt idx="33">
                  <c:v>397.363658570089</c:v>
                </c:pt>
                <c:pt idx="34">
                  <c:v>397.34545751763608</c:v>
                </c:pt>
                <c:pt idx="35">
                  <c:v>397.32679598634451</c:v>
                </c:pt>
                <c:pt idx="36">
                  <c:v>397.30767391132832</c:v>
                </c:pt>
                <c:pt idx="37">
                  <c:v>397.28809122608749</c:v>
                </c:pt>
                <c:pt idx="38">
                  <c:v>397.26804786250693</c:v>
                </c:pt>
                <c:pt idx="39">
                  <c:v>397.24754375085524</c:v>
                </c:pt>
                <c:pt idx="40">
                  <c:v>397.22657881978353</c:v>
                </c:pt>
                <c:pt idx="41">
                  <c:v>397.20515299632399</c:v>
                </c:pt>
                <c:pt idx="42">
                  <c:v>397.18326620588891</c:v>
                </c:pt>
                <c:pt idx="43">
                  <c:v>397.16091837226941</c:v>
                </c:pt>
                <c:pt idx="44">
                  <c:v>397.13810941763364</c:v>
                </c:pt>
                <c:pt idx="45">
                  <c:v>388.96232090752801</c:v>
                </c:pt>
                <c:pt idx="46">
                  <c:v>376.39340141325914</c:v>
                </c:pt>
                <c:pt idx="47">
                  <c:v>370.41533868772945</c:v>
                </c:pt>
                <c:pt idx="48">
                  <c:v>364.62857355372796</c:v>
                </c:pt>
                <c:pt idx="49">
                  <c:v>359.02414051765783</c:v>
                </c:pt>
                <c:pt idx="50">
                  <c:v>348.32912571019551</c:v>
                </c:pt>
                <c:pt idx="51">
                  <c:v>343.22320824279745</c:v>
                </c:pt>
                <c:pt idx="52">
                  <c:v>338.26887872740883</c:v>
                </c:pt>
                <c:pt idx="53">
                  <c:v>328.7890033419344</c:v>
                </c:pt>
                <c:pt idx="54">
                  <c:v>324.25138222338114</c:v>
                </c:pt>
                <c:pt idx="55">
                  <c:v>319.84114773464233</c:v>
                </c:pt>
                <c:pt idx="56">
                  <c:v>315.55306640678799</c:v>
                </c:pt>
                <c:pt idx="57">
                  <c:v>307.32382506588033</c:v>
                </c:pt>
                <c:pt idx="58">
                  <c:v>303.37353872929003</c:v>
                </c:pt>
                <c:pt idx="59">
                  <c:v>299.52711951648433</c:v>
                </c:pt>
                <c:pt idx="60">
                  <c:v>292.13011154992677</c:v>
                </c:pt>
                <c:pt idx="61">
                  <c:v>288.57213023627094</c:v>
                </c:pt>
                <c:pt idx="62">
                  <c:v>285.10320658616229</c:v>
                </c:pt>
                <c:pt idx="63">
                  <c:v>278.41966287710761</c:v>
                </c:pt>
                <c:pt idx="64">
                  <c:v>275.19899118948916</c:v>
                </c:pt>
                <c:pt idx="65">
                  <c:v>272.05525588132622</c:v>
                </c:pt>
                <c:pt idx="66">
                  <c:v>265.98798893191616</c:v>
                </c:pt>
                <c:pt idx="67">
                  <c:v>263.05945589817748</c:v>
                </c:pt>
                <c:pt idx="68">
                  <c:v>260.19784291552332</c:v>
                </c:pt>
                <c:pt idx="69">
                  <c:v>254.66655896077046</c:v>
                </c:pt>
                <c:pt idx="70">
                  <c:v>251.99271859059272</c:v>
                </c:pt>
                <c:pt idx="71">
                  <c:v>246.81888304589191</c:v>
                </c:pt>
                <c:pt idx="72">
                  <c:v>244.31523124068241</c:v>
                </c:pt>
                <c:pt idx="73">
                  <c:v>241.86477932506739</c:v>
                </c:pt>
                <c:pt idx="74">
                  <c:v>237.11696743592788</c:v>
                </c:pt>
                <c:pt idx="75">
                  <c:v>234.81651798299856</c:v>
                </c:pt>
                <c:pt idx="76">
                  <c:v>230.35526733558012</c:v>
                </c:pt>
                <c:pt idx="77">
                  <c:v>228.19173124162222</c:v>
                </c:pt>
                <c:pt idx="78">
                  <c:v>223.99239485871274</c:v>
                </c:pt>
                <c:pt idx="79">
                  <c:v>221.95416482339979</c:v>
                </c:pt>
                <c:pt idx="80">
                  <c:v>219.95535016535149</c:v>
                </c:pt>
                <c:pt idx="81">
                  <c:v>216.07159414040296</c:v>
                </c:pt>
                <c:pt idx="82">
                  <c:v>214.1845666923449</c:v>
                </c:pt>
                <c:pt idx="83">
                  <c:v>210.51527975728123</c:v>
                </c:pt>
                <c:pt idx="84">
                  <c:v>208.73115276661568</c:v>
                </c:pt>
                <c:pt idx="85">
                  <c:v>205.25950883431611</c:v>
                </c:pt>
                <c:pt idx="86">
                  <c:v>203.57031508684648</c:v>
                </c:pt>
                <c:pt idx="87">
                  <c:v>200.28120711824948</c:v>
                </c:pt>
                <c:pt idx="88">
                  <c:v>198.67978307027988</c:v>
                </c:pt>
                <c:pt idx="89">
                  <c:v>195.55960913503606</c:v>
                </c:pt>
                <c:pt idx="90">
                  <c:v>194.03949613512381</c:v>
                </c:pt>
              </c:numCache>
            </c:numRef>
          </c:yVal>
          <c:smooth val="0"/>
          <c:extLst>
            <c:ext xmlns:c16="http://schemas.microsoft.com/office/drawing/2014/chart" uri="{C3380CC4-5D6E-409C-BE32-E72D297353CC}">
              <c16:uniqueId val="{00000001-09C0-41CA-84F3-16D524DF435F}"/>
            </c:ext>
          </c:extLst>
        </c:ser>
        <c:dLbls>
          <c:showLegendKey val="0"/>
          <c:showVal val="0"/>
          <c:showCatName val="0"/>
          <c:showSerName val="0"/>
          <c:showPercent val="0"/>
          <c:showBubbleSize val="0"/>
        </c:dLbls>
        <c:axId val="565872672"/>
        <c:axId val="565873064"/>
      </c:scatterChart>
      <c:valAx>
        <c:axId val="565872672"/>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444577761113174"/>
              <c:y val="0.9291346849360364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3064"/>
        <c:crosses val="autoZero"/>
        <c:crossBetween val="midCat"/>
      </c:valAx>
      <c:valAx>
        <c:axId val="565873064"/>
        <c:scaling>
          <c:orientation val="minMax"/>
          <c:min val="0"/>
        </c:scaling>
        <c:delete val="0"/>
        <c:axPos val="l"/>
        <c:majorGridlines>
          <c:spPr>
            <a:ln w="3175">
              <a:solidFill>
                <a:srgbClr val="000000"/>
              </a:solidFill>
              <a:prstDash val="solid"/>
            </a:ln>
          </c:spPr>
        </c:majorGridlines>
        <c:title>
          <c:tx>
            <c:strRef>
              <c:f>TSData1!$AD$2</c:f>
              <c:strCache>
                <c:ptCount val="1"/>
                <c:pt idx="0">
                  <c:v>Current Amps Peak of Sine</c:v>
                </c:pt>
              </c:strCache>
            </c:strRef>
          </c:tx>
          <c:layout>
            <c:manualLayout>
              <c:xMode val="edge"/>
              <c:yMode val="edge"/>
              <c:x val="5.0793650793650794E-2"/>
              <c:y val="0.37007915349164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267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Output Power</a:t>
            </a:r>
          </a:p>
        </c:rich>
      </c:tx>
      <c:layout>
        <c:manualLayout>
          <c:xMode val="edge"/>
          <c:yMode val="edge"/>
          <c:x val="0.35216016602576017"/>
          <c:y val="2.9527559055118027E-2"/>
        </c:manualLayout>
      </c:layout>
      <c:overlay val="0"/>
      <c:spPr>
        <a:noFill/>
        <a:ln w="25400">
          <a:noFill/>
        </a:ln>
      </c:spPr>
    </c:title>
    <c:autoTitleDeleted val="0"/>
    <c:plotArea>
      <c:layout>
        <c:manualLayout>
          <c:layoutTarget val="inner"/>
          <c:xMode val="edge"/>
          <c:yMode val="edge"/>
          <c:x val="0.20598040058594036"/>
          <c:y val="0.13385839637902591"/>
          <c:w val="0.70099781489730661"/>
          <c:h val="0.74212669757195182"/>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TSData1!$P$5:$P$95</c:f>
              <c:numCache>
                <c:formatCode>General</c:formatCode>
                <c:ptCount val="91"/>
                <c:pt idx="0">
                  <c:v>0</c:v>
                </c:pt>
                <c:pt idx="1">
                  <c:v>0.15970814181672474</c:v>
                </c:pt>
                <c:pt idx="2">
                  <c:v>0.31927402916606229</c:v>
                </c:pt>
                <c:pt idx="3">
                  <c:v>0.47868406050656315</c:v>
                </c:pt>
                <c:pt idx="4">
                  <c:v>0.63792461920550791</c:v>
                </c:pt>
                <c:pt idx="5">
                  <c:v>0.79698207131789789</c:v>
                </c:pt>
                <c:pt idx="6">
                  <c:v>0.95584276335440055</c:v>
                </c:pt>
                <c:pt idx="7">
                  <c:v>1.1144930200368679</c:v>
                </c:pt>
                <c:pt idx="8">
                  <c:v>1.2729191420400023</c:v>
                </c:pt>
                <c:pt idx="9">
                  <c:v>1.431107403717772</c:v>
                </c:pt>
                <c:pt idx="10">
                  <c:v>1.5890440508130987</c:v>
                </c:pt>
                <c:pt idx="11">
                  <c:v>1.7467152981493741</c:v>
                </c:pt>
                <c:pt idx="12">
                  <c:v>1.9041073273022997</c:v>
                </c:pt>
                <c:pt idx="13">
                  <c:v>2.0612062842505221</c:v>
                </c:pt>
                <c:pt idx="14">
                  <c:v>2.2179982770035398</c:v>
                </c:pt>
                <c:pt idx="15">
                  <c:v>2.3744693732052697</c:v>
                </c:pt>
                <c:pt idx="16">
                  <c:v>2.5306055977116828</c:v>
                </c:pt>
                <c:pt idx="17">
                  <c:v>2.6863929301408498</c:v>
                </c:pt>
                <c:pt idx="18">
                  <c:v>2.841817302393709</c:v>
                </c:pt>
                <c:pt idx="19">
                  <c:v>2.9968645961438223</c:v>
                </c:pt>
                <c:pt idx="20">
                  <c:v>3.1515206402943674</c:v>
                </c:pt>
                <c:pt idx="21">
                  <c:v>3.3057712084005066</c:v>
                </c:pt>
                <c:pt idx="22">
                  <c:v>3.4596020160553258</c:v>
                </c:pt>
                <c:pt idx="23">
                  <c:v>3.6129987182373409</c:v>
                </c:pt>
                <c:pt idx="24">
                  <c:v>3.7659469066176818</c:v>
                </c:pt>
                <c:pt idx="25">
                  <c:v>3.9184321068248504</c:v>
                </c:pt>
                <c:pt idx="26">
                  <c:v>4.0704397756649975</c:v>
                </c:pt>
                <c:pt idx="27">
                  <c:v>4.2219552982955317</c:v>
                </c:pt>
                <c:pt idx="28">
                  <c:v>4.3729639853498412</c:v>
                </c:pt>
                <c:pt idx="29">
                  <c:v>4.5234510700108146</c:v>
                </c:pt>
                <c:pt idx="30">
                  <c:v>4.6734017050308019</c:v>
                </c:pt>
                <c:pt idx="31">
                  <c:v>4.8228009596954937</c:v>
                </c:pt>
                <c:pt idx="32">
                  <c:v>4.9716338167292236</c:v>
                </c:pt>
                <c:pt idx="33">
                  <c:v>5.1198851691390237</c:v>
                </c:pt>
                <c:pt idx="34">
                  <c:v>5.2675398169947121</c:v>
                </c:pt>
                <c:pt idx="35">
                  <c:v>5.4145824641421321</c:v>
                </c:pt>
                <c:pt idx="36">
                  <c:v>5.5609977148466339</c:v>
                </c:pt>
                <c:pt idx="37">
                  <c:v>5.7067700703637172</c:v>
                </c:pt>
                <c:pt idx="38">
                  <c:v>5.8518839254336719</c:v>
                </c:pt>
                <c:pt idx="39">
                  <c:v>5.9963235646968664</c:v>
                </c:pt>
                <c:pt idx="40">
                  <c:v>6.1400731590262865</c:v>
                </c:pt>
                <c:pt idx="41">
                  <c:v>6.2831167617737513</c:v>
                </c:pt>
                <c:pt idx="42">
                  <c:v>6.4254383049260007</c:v>
                </c:pt>
                <c:pt idx="43">
                  <c:v>6.5670215951668478</c:v>
                </c:pt>
                <c:pt idx="44">
                  <c:v>6.7078503098413549</c:v>
                </c:pt>
                <c:pt idx="45">
                  <c:v>6.8479079928176905</c:v>
                </c:pt>
                <c:pt idx="46">
                  <c:v>6.9871780502424068</c:v>
                </c:pt>
                <c:pt idx="47">
                  <c:v>7.1256437461844166</c:v>
                </c:pt>
                <c:pt idx="48">
                  <c:v>7.2632881981629485</c:v>
                </c:pt>
                <c:pt idx="49">
                  <c:v>7.40009437255436</c:v>
                </c:pt>
                <c:pt idx="50">
                  <c:v>7.5360450798726415</c:v>
                </c:pt>
                <c:pt idx="51">
                  <c:v>7.6711229699180405</c:v>
                </c:pt>
                <c:pt idx="52">
                  <c:v>7.8053105267880873</c:v>
                </c:pt>
                <c:pt idx="53">
                  <c:v>7.9385900637449796</c:v>
                </c:pt>
                <c:pt idx="54">
                  <c:v>8.0709437179330035</c:v>
                </c:pt>
                <c:pt idx="55">
                  <c:v>8.2023534449393622</c:v>
                </c:pt>
                <c:pt idx="56">
                  <c:v>8.3328010131914958</c:v>
                </c:pt>
                <c:pt idx="57">
                  <c:v>8.4622679981835294</c:v>
                </c:pt>
                <c:pt idx="58">
                  <c:v>8.5907357765243049</c:v>
                </c:pt>
                <c:pt idx="59">
                  <c:v>8.7181855197988494</c:v>
                </c:pt>
                <c:pt idx="60">
                  <c:v>8.8445981882348814</c:v>
                </c:pt>
                <c:pt idx="61">
                  <c:v>8.969954524165475</c:v>
                </c:pt>
                <c:pt idx="62">
                  <c:v>9.0942350452785305</c:v>
                </c:pt>
                <c:pt idx="63">
                  <c:v>9.2174200376432172</c:v>
                </c:pt>
                <c:pt idx="64">
                  <c:v>9.3394895485029892</c:v>
                </c:pt>
                <c:pt idx="65">
                  <c:v>9.4604233788243484</c:v>
                </c:pt>
                <c:pt idx="66">
                  <c:v>9.5802010755897875</c:v>
                </c:pt>
                <c:pt idx="67">
                  <c:v>9.6988019238228009</c:v>
                </c:pt>
                <c:pt idx="68">
                  <c:v>9.8162049383321452</c:v>
                </c:pt>
                <c:pt idx="69">
                  <c:v>9.9323888551619071</c:v>
                </c:pt>
                <c:pt idx="70">
                  <c:v>10.047332122733021</c:v>
                </c:pt>
                <c:pt idx="71">
                  <c:v>10.161012892661196</c:v>
                </c:pt>
                <c:pt idx="72">
                  <c:v>10.2734090102353</c:v>
                </c:pt>
                <c:pt idx="73">
                  <c:v>10.384498004539324</c:v>
                </c:pt>
                <c:pt idx="74">
                  <c:v>10.494257078200045</c:v>
                </c:pt>
                <c:pt idx="75">
                  <c:v>10.602663096741495</c:v>
                </c:pt>
                <c:pt idx="76">
                  <c:v>10.709692577526162</c:v>
                </c:pt>
                <c:pt idx="77">
                  <c:v>10.815321678261665</c:v>
                </c:pt>
                <c:pt idx="78">
                  <c:v>10.919526185050318</c:v>
                </c:pt>
                <c:pt idx="79">
                  <c:v>11.022281499957653</c:v>
                </c:pt>
                <c:pt idx="80">
                  <c:v>11.123562628074454</c:v>
                </c:pt>
                <c:pt idx="81">
                  <c:v>11.223344164045223</c:v>
                </c:pt>
                <c:pt idx="82">
                  <c:v>11.321600278034257</c:v>
                </c:pt>
                <c:pt idx="83">
                  <c:v>11.418304701098874</c:v>
                </c:pt>
                <c:pt idx="84">
                  <c:v>11.513430709936948</c:v>
                </c:pt>
                <c:pt idx="85">
                  <c:v>11.606951110974082</c:v>
                </c:pt>
                <c:pt idx="86">
                  <c:v>11.698838223753432</c:v>
                </c:pt>
                <c:pt idx="87">
                  <c:v>11.789063863588359</c:v>
                </c:pt>
                <c:pt idx="88">
                  <c:v>11.877599323435954</c:v>
                </c:pt>
                <c:pt idx="89">
                  <c:v>11.964415354945945</c:v>
                </c:pt>
                <c:pt idx="90">
                  <c:v>12.04948214863691</c:v>
                </c:pt>
              </c:numCache>
            </c:numRef>
          </c:yVal>
          <c:smooth val="0"/>
          <c:extLst>
            <c:ext xmlns:c16="http://schemas.microsoft.com/office/drawing/2014/chart" uri="{C3380CC4-5D6E-409C-BE32-E72D297353CC}">
              <c16:uniqueId val="{00000000-841F-4289-BF19-2446A1AFAAE4}"/>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TSData1!$Q$5:$Q$95</c:f>
              <c:numCache>
                <c:formatCode>General</c:formatCode>
                <c:ptCount val="91"/>
                <c:pt idx="0">
                  <c:v>0</c:v>
                </c:pt>
                <c:pt idx="1">
                  <c:v>0.44562754455205206</c:v>
                </c:pt>
                <c:pt idx="2">
                  <c:v>0.89117851239864809</c:v>
                </c:pt>
                <c:pt idx="3">
                  <c:v>1.3366522937828134</c:v>
                </c:pt>
                <c:pt idx="4">
                  <c:v>1.7820482789233509</c:v>
                </c:pt>
                <c:pt idx="5">
                  <c:v>2.2273658580113178</c:v>
                </c:pt>
                <c:pt idx="6">
                  <c:v>2.6726044212065037</c:v>
                </c:pt>
                <c:pt idx="7">
                  <c:v>3.1177633586339062</c:v>
                </c:pt>
                <c:pt idx="8">
                  <c:v>3.5628420603802056</c:v>
                </c:pt>
                <c:pt idx="9">
                  <c:v>4.0078399164902416</c:v>
                </c:pt>
                <c:pt idx="10">
                  <c:v>4.4527563169634856</c:v>
                </c:pt>
                <c:pt idx="11">
                  <c:v>4.8975906517505123</c:v>
                </c:pt>
                <c:pt idx="12">
                  <c:v>5.3423423107494674</c:v>
                </c:pt>
                <c:pt idx="13">
                  <c:v>5.7870106838025475</c:v>
                </c:pt>
                <c:pt idx="14">
                  <c:v>6.2315951606924589</c:v>
                </c:pt>
                <c:pt idx="15">
                  <c:v>6.6760951311388874</c:v>
                </c:pt>
                <c:pt idx="16">
                  <c:v>7.120509984794964</c:v>
                </c:pt>
                <c:pt idx="17">
                  <c:v>7.5648391112437317</c:v>
                </c:pt>
                <c:pt idx="18">
                  <c:v>8.0090818999945945</c:v>
                </c:pt>
                <c:pt idx="19">
                  <c:v>8.4532377404798034</c:v>
                </c:pt>
                <c:pt idx="20">
                  <c:v>8.8973060220508859</c:v>
                </c:pt>
                <c:pt idx="21">
                  <c:v>9.3412861339751174</c:v>
                </c:pt>
                <c:pt idx="22">
                  <c:v>9.7851774654319748</c:v>
                </c:pt>
                <c:pt idx="23">
                  <c:v>10.22897940550958</c:v>
                </c:pt>
                <c:pt idx="24">
                  <c:v>10.672691343201171</c:v>
                </c:pt>
                <c:pt idx="25">
                  <c:v>11.116312667401523</c:v>
                </c:pt>
                <c:pt idx="26">
                  <c:v>11.559842766903403</c:v>
                </c:pt>
                <c:pt idx="27">
                  <c:v>12.003281030394017</c:v>
                </c:pt>
                <c:pt idx="28">
                  <c:v>12.446626846451457</c:v>
                </c:pt>
                <c:pt idx="29">
                  <c:v>12.889879603541113</c:v>
                </c:pt>
                <c:pt idx="30">
                  <c:v>13.333038690012131</c:v>
                </c:pt>
                <c:pt idx="31">
                  <c:v>13.776103494093826</c:v>
                </c:pt>
                <c:pt idx="32">
                  <c:v>14.219073403892146</c:v>
                </c:pt>
                <c:pt idx="33">
                  <c:v>14.661947807386035</c:v>
                </c:pt>
                <c:pt idx="34">
                  <c:v>15.104726092423926</c:v>
                </c:pt>
                <c:pt idx="35">
                  <c:v>15.54740764672011</c:v>
                </c:pt>
                <c:pt idx="36">
                  <c:v>15.989991857851166</c:v>
                </c:pt>
                <c:pt idx="37">
                  <c:v>16.432478113252394</c:v>
                </c:pt>
                <c:pt idx="38">
                  <c:v>16.874865800214174</c:v>
                </c:pt>
                <c:pt idx="39">
                  <c:v>17.31715430587845</c:v>
                </c:pt>
                <c:pt idx="40">
                  <c:v>17.759343017235036</c:v>
                </c:pt>
                <c:pt idx="41">
                  <c:v>18.201431321118118</c:v>
                </c:pt>
                <c:pt idx="42">
                  <c:v>18.643418604202523</c:v>
                </c:pt>
                <c:pt idx="43">
                  <c:v>19.038600954505029</c:v>
                </c:pt>
                <c:pt idx="44">
                  <c:v>19.204793592768524</c:v>
                </c:pt>
                <c:pt idx="45">
                  <c:v>19.385843803368896</c:v>
                </c:pt>
                <c:pt idx="46">
                  <c:v>19.535317090694605</c:v>
                </c:pt>
                <c:pt idx="47">
                  <c:v>19.821559853742105</c:v>
                </c:pt>
                <c:pt idx="48">
                  <c:v>20.105820070151477</c:v>
                </c:pt>
                <c:pt idx="49">
                  <c:v>20.388147692279173</c:v>
                </c:pt>
                <c:pt idx="50">
                  <c:v>20.538295005105841</c:v>
                </c:pt>
                <c:pt idx="51">
                  <c:v>20.817701816099177</c:v>
                </c:pt>
                <c:pt idx="52">
                  <c:v>21.095278117303518</c:v>
                </c:pt>
                <c:pt idx="53">
                  <c:v>21.246197629077361</c:v>
                </c:pt>
                <c:pt idx="54">
                  <c:v>21.520868651942486</c:v>
                </c:pt>
                <c:pt idx="55">
                  <c:v>21.793789406386221</c:v>
                </c:pt>
                <c:pt idx="56">
                  <c:v>22.064989803182613</c:v>
                </c:pt>
                <c:pt idx="57">
                  <c:v>22.214737619283763</c:v>
                </c:pt>
                <c:pt idx="58">
                  <c:v>22.483065864185608</c:v>
                </c:pt>
                <c:pt idx="59">
                  <c:v>22.74973083775906</c:v>
                </c:pt>
                <c:pt idx="60">
                  <c:v>22.898754465203577</c:v>
                </c:pt>
                <c:pt idx="61">
                  <c:v>23.16252689216633</c:v>
                </c:pt>
                <c:pt idx="62">
                  <c:v>23.42468027962035</c:v>
                </c:pt>
                <c:pt idx="63">
                  <c:v>23.572387481302513</c:v>
                </c:pt>
                <c:pt idx="64">
                  <c:v>23.831619390001531</c:v>
                </c:pt>
                <c:pt idx="65">
                  <c:v>24.089266009366138</c:v>
                </c:pt>
                <c:pt idx="66">
                  <c:v>24.235123081530986</c:v>
                </c:pt>
                <c:pt idx="67">
                  <c:v>24.489812268004584</c:v>
                </c:pt>
                <c:pt idx="68">
                  <c:v>24.742941295208734</c:v>
                </c:pt>
                <c:pt idx="69">
                  <c:v>24.886462583482103</c:v>
                </c:pt>
                <c:pt idx="70">
                  <c:v>25.136592427789861</c:v>
                </c:pt>
                <c:pt idx="71">
                  <c:v>25.278840147527056</c:v>
                </c:pt>
                <c:pt idx="72">
                  <c:v>25.525919838128907</c:v>
                </c:pt>
                <c:pt idx="73">
                  <c:v>25.771461782614484</c:v>
                </c:pt>
                <c:pt idx="74">
                  <c:v>25.909866679379089</c:v>
                </c:pt>
                <c:pt idx="75">
                  <c:v>26.147460040040482</c:v>
                </c:pt>
                <c:pt idx="76">
                  <c:v>26.261966218326645</c:v>
                </c:pt>
                <c:pt idx="77">
                  <c:v>26.48348945035438</c:v>
                </c:pt>
                <c:pt idx="78">
                  <c:v>26.571963775628067</c:v>
                </c:pt>
                <c:pt idx="79">
                  <c:v>26.778629391643946</c:v>
                </c:pt>
                <c:pt idx="80">
                  <c:v>26.980002448118196</c:v>
                </c:pt>
                <c:pt idx="81">
                  <c:v>27.036500240540924</c:v>
                </c:pt>
                <c:pt idx="82">
                  <c:v>27.2244061830866</c:v>
                </c:pt>
                <c:pt idx="83">
                  <c:v>27.260294885261249</c:v>
                </c:pt>
                <c:pt idx="84">
                  <c:v>27.43566563259046</c:v>
                </c:pt>
                <c:pt idx="85">
                  <c:v>27.452839918381347</c:v>
                </c:pt>
                <c:pt idx="86">
                  <c:v>27.616511021586614</c:v>
                </c:pt>
                <c:pt idx="87">
                  <c:v>27.616646657515854</c:v>
                </c:pt>
                <c:pt idx="88">
                  <c:v>27.76936997449182</c:v>
                </c:pt>
                <c:pt idx="89">
                  <c:v>27.753953903008266</c:v>
                </c:pt>
                <c:pt idx="90">
                  <c:v>27.896408290606978</c:v>
                </c:pt>
              </c:numCache>
            </c:numRef>
          </c:yVal>
          <c:smooth val="0"/>
          <c:extLst>
            <c:ext xmlns:c16="http://schemas.microsoft.com/office/drawing/2014/chart" uri="{C3380CC4-5D6E-409C-BE32-E72D297353CC}">
              <c16:uniqueId val="{00000001-841F-4289-BF19-2446A1AFAAE4}"/>
            </c:ext>
          </c:extLst>
        </c:ser>
        <c:ser>
          <c:idx val="2"/>
          <c:order val="2"/>
          <c:spPr>
            <a:ln w="25400">
              <a:solidFill>
                <a:srgbClr val="FF6600"/>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TSData1!$U$5:$U$95</c:f>
              <c:numCache>
                <c:formatCode>General</c:formatCode>
                <c:ptCount val="91"/>
                <c:pt idx="0">
                  <c:v>0</c:v>
                </c:pt>
                <c:pt idx="1">
                  <c:v>4.8507443833134615E-4</c:v>
                </c:pt>
                <c:pt idx="2">
                  <c:v>1.0436360691456492E-3</c:v>
                </c:pt>
                <c:pt idx="3">
                  <c:v>1.6756848924429091E-3</c:v>
                </c:pt>
                <c:pt idx="4">
                  <c:v>2.3812209082231259E-3</c:v>
                </c:pt>
                <c:pt idx="5">
                  <c:v>3.1602441164863002E-3</c:v>
                </c:pt>
                <c:pt idx="6">
                  <c:v>4.0127545172324317E-3</c:v>
                </c:pt>
                <c:pt idx="7">
                  <c:v>4.9387521104615195E-3</c:v>
                </c:pt>
                <c:pt idx="8">
                  <c:v>5.9382368961735637E-3</c:v>
                </c:pt>
                <c:pt idx="9">
                  <c:v>7.0112088743685651E-3</c:v>
                </c:pt>
                <c:pt idx="10">
                  <c:v>8.1576680450465219E-3</c:v>
                </c:pt>
                <c:pt idx="11">
                  <c:v>9.3776144082074412E-3</c:v>
                </c:pt>
                <c:pt idx="12">
                  <c:v>1.0671047963851314E-2</c:v>
                </c:pt>
                <c:pt idx="13">
                  <c:v>1.2037968711978144E-2</c:v>
                </c:pt>
                <c:pt idx="14">
                  <c:v>1.3478376652587932E-2</c:v>
                </c:pt>
                <c:pt idx="15">
                  <c:v>1.4992271785680673E-2</c:v>
                </c:pt>
                <c:pt idx="16">
                  <c:v>1.6579654111256371E-2</c:v>
                </c:pt>
                <c:pt idx="17">
                  <c:v>1.8240523629315029E-2</c:v>
                </c:pt>
                <c:pt idx="18">
                  <c:v>1.9974880339856643E-2</c:v>
                </c:pt>
                <c:pt idx="19">
                  <c:v>2.1782724242881212E-2</c:v>
                </c:pt>
                <c:pt idx="20">
                  <c:v>2.3664055338388744E-2</c:v>
                </c:pt>
                <c:pt idx="21">
                  <c:v>2.561887362637923E-2</c:v>
                </c:pt>
                <c:pt idx="22">
                  <c:v>2.7647179106852673E-2</c:v>
                </c:pt>
                <c:pt idx="23">
                  <c:v>2.9748971779809077E-2</c:v>
                </c:pt>
                <c:pt idx="24">
                  <c:v>3.1924251645248432E-2</c:v>
                </c:pt>
                <c:pt idx="25">
                  <c:v>3.4173018703170743E-2</c:v>
                </c:pt>
                <c:pt idx="26">
                  <c:v>3.6495272953576012E-2</c:v>
                </c:pt>
                <c:pt idx="27">
                  <c:v>3.8891014396464231E-2</c:v>
                </c:pt>
                <c:pt idx="28">
                  <c:v>4.1360243031835428E-2</c:v>
                </c:pt>
                <c:pt idx="29">
                  <c:v>4.3902958859689555E-2</c:v>
                </c:pt>
                <c:pt idx="30">
                  <c:v>4.6519161880026666E-2</c:v>
                </c:pt>
                <c:pt idx="31">
                  <c:v>4.9208852092846714E-2</c:v>
                </c:pt>
                <c:pt idx="32">
                  <c:v>5.1972029498149726E-2</c:v>
                </c:pt>
                <c:pt idx="33">
                  <c:v>5.4808694095935709E-2</c:v>
                </c:pt>
                <c:pt idx="34">
                  <c:v>5.7718845886204621E-2</c:v>
                </c:pt>
                <c:pt idx="35">
                  <c:v>6.0702484868956512E-2</c:v>
                </c:pt>
                <c:pt idx="36">
                  <c:v>6.3759611044191339E-2</c:v>
                </c:pt>
                <c:pt idx="37">
                  <c:v>6.6890224411909144E-2</c:v>
                </c:pt>
                <c:pt idx="38">
                  <c:v>7.0094324972109892E-2</c:v>
                </c:pt>
                <c:pt idx="39">
                  <c:v>7.3371912724793625E-2</c:v>
                </c:pt>
                <c:pt idx="40">
                  <c:v>7.672298766996026E-2</c:v>
                </c:pt>
                <c:pt idx="41">
                  <c:v>8.0147549807609908E-2</c:v>
                </c:pt>
                <c:pt idx="42">
                  <c:v>8.3645599137742499E-2</c:v>
                </c:pt>
                <c:pt idx="43">
                  <c:v>8.7217135660358019E-2</c:v>
                </c:pt>
                <c:pt idx="44">
                  <c:v>9.0862159375456511E-2</c:v>
                </c:pt>
                <c:pt idx="45">
                  <c:v>9.4580670283037946E-2</c:v>
                </c:pt>
                <c:pt idx="46">
                  <c:v>9.8372668383102366E-2</c:v>
                </c:pt>
                <c:pt idx="47">
                  <c:v>0.10223815367564974</c:v>
                </c:pt>
                <c:pt idx="48">
                  <c:v>0.10617712616068006</c:v>
                </c:pt>
                <c:pt idx="49">
                  <c:v>0.11018958583819337</c:v>
                </c:pt>
                <c:pt idx="50">
                  <c:v>0.11427553270818958</c:v>
                </c:pt>
                <c:pt idx="51">
                  <c:v>0.11843496677066878</c:v>
                </c:pt>
                <c:pt idx="52">
                  <c:v>0.12266788802563094</c:v>
                </c:pt>
                <c:pt idx="53">
                  <c:v>0.12697429647307606</c:v>
                </c:pt>
                <c:pt idx="54">
                  <c:v>0.13135419211300409</c:v>
                </c:pt>
                <c:pt idx="55">
                  <c:v>0.13580757494541512</c:v>
                </c:pt>
                <c:pt idx="56">
                  <c:v>0.14033444497030914</c:v>
                </c:pt>
                <c:pt idx="57">
                  <c:v>0.14493480218768609</c:v>
                </c:pt>
                <c:pt idx="58">
                  <c:v>0.14960864659754589</c:v>
                </c:pt>
                <c:pt idx="59">
                  <c:v>0.15435597819988878</c:v>
                </c:pt>
                <c:pt idx="60">
                  <c:v>0.1591767969947146</c:v>
                </c:pt>
                <c:pt idx="61">
                  <c:v>0.16407110298202335</c:v>
                </c:pt>
                <c:pt idx="62">
                  <c:v>0.16903889616181506</c:v>
                </c:pt>
                <c:pt idx="63">
                  <c:v>0.17408017653408978</c:v>
                </c:pt>
                <c:pt idx="64">
                  <c:v>0.17919494409884737</c:v>
                </c:pt>
                <c:pt idx="65">
                  <c:v>0.18438319885608798</c:v>
                </c:pt>
                <c:pt idx="66">
                  <c:v>0.18964494080581157</c:v>
                </c:pt>
                <c:pt idx="67">
                  <c:v>0.19498016994801798</c:v>
                </c:pt>
                <c:pt idx="68">
                  <c:v>0.20038888628270746</c:v>
                </c:pt>
                <c:pt idx="69">
                  <c:v>0.20587108980987992</c:v>
                </c:pt>
                <c:pt idx="70">
                  <c:v>0.21142678052953531</c:v>
                </c:pt>
                <c:pt idx="71">
                  <c:v>0.21705595844167361</c:v>
                </c:pt>
                <c:pt idx="72">
                  <c:v>0.22275862354629491</c:v>
                </c:pt>
                <c:pt idx="73">
                  <c:v>0.22853477584339915</c:v>
                </c:pt>
                <c:pt idx="74">
                  <c:v>0.23438441533298637</c:v>
                </c:pt>
                <c:pt idx="75">
                  <c:v>0.24030754201505658</c:v>
                </c:pt>
                <c:pt idx="76">
                  <c:v>0.24630415588960961</c:v>
                </c:pt>
                <c:pt idx="77">
                  <c:v>0.25237425695664573</c:v>
                </c:pt>
                <c:pt idx="78">
                  <c:v>0.25851784521616478</c:v>
                </c:pt>
                <c:pt idx="79">
                  <c:v>0.26473492066816673</c:v>
                </c:pt>
                <c:pt idx="80">
                  <c:v>0.27102548331265164</c:v>
                </c:pt>
                <c:pt idx="81">
                  <c:v>0.2773895331496195</c:v>
                </c:pt>
                <c:pt idx="82">
                  <c:v>0.28382707017907044</c:v>
                </c:pt>
                <c:pt idx="83">
                  <c:v>0.29033809440100433</c:v>
                </c:pt>
                <c:pt idx="84">
                  <c:v>0.29692260581542107</c:v>
                </c:pt>
                <c:pt idx="85">
                  <c:v>0.30358060442232077</c:v>
                </c:pt>
                <c:pt idx="86">
                  <c:v>0.31031209022170342</c:v>
                </c:pt>
                <c:pt idx="87">
                  <c:v>0.31711706321356914</c:v>
                </c:pt>
                <c:pt idx="88">
                  <c:v>0.32399552339791776</c:v>
                </c:pt>
                <c:pt idx="89">
                  <c:v>0.33094747077474929</c:v>
                </c:pt>
                <c:pt idx="90">
                  <c:v>0.33797290534406377</c:v>
                </c:pt>
              </c:numCache>
            </c:numRef>
          </c:yVal>
          <c:smooth val="0"/>
          <c:extLst>
            <c:ext xmlns:c16="http://schemas.microsoft.com/office/drawing/2014/chart" uri="{C3380CC4-5D6E-409C-BE32-E72D297353CC}">
              <c16:uniqueId val="{00000002-841F-4289-BF19-2446A1AFAAE4}"/>
            </c:ext>
          </c:extLst>
        </c:ser>
        <c:ser>
          <c:idx val="3"/>
          <c:order val="3"/>
          <c:spPr>
            <a:ln w="25400">
              <a:solidFill>
                <a:srgbClr val="800000"/>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TSData1!$AQ$5:$AQ$95</c:f>
              <c:numCache>
                <c:formatCode>General</c:formatCode>
                <c:ptCount val="91"/>
                <c:pt idx="0">
                  <c:v>0.31933578157432557</c:v>
                </c:pt>
                <c:pt idx="1">
                  <c:v>0.31921409011292856</c:v>
                </c:pt>
                <c:pt idx="2">
                  <c:v>0.31907396279274258</c:v>
                </c:pt>
                <c:pt idx="3">
                  <c:v>0.31891539961376753</c:v>
                </c:pt>
                <c:pt idx="4">
                  <c:v>0.31873840057600367</c:v>
                </c:pt>
                <c:pt idx="5">
                  <c:v>0.31854296567945078</c:v>
                </c:pt>
                <c:pt idx="6">
                  <c:v>0.31832909492410894</c:v>
                </c:pt>
                <c:pt idx="7">
                  <c:v>0.31809678830997806</c:v>
                </c:pt>
                <c:pt idx="8">
                  <c:v>0.31784604583705844</c:v>
                </c:pt>
                <c:pt idx="9">
                  <c:v>0.31757686750534969</c:v>
                </c:pt>
                <c:pt idx="10">
                  <c:v>0.31728925331485197</c:v>
                </c:pt>
                <c:pt idx="11">
                  <c:v>0.31698320326556517</c:v>
                </c:pt>
                <c:pt idx="12">
                  <c:v>0.31665871735748968</c:v>
                </c:pt>
                <c:pt idx="13">
                  <c:v>0.31631579559062512</c:v>
                </c:pt>
                <c:pt idx="14">
                  <c:v>0.31595443796497147</c:v>
                </c:pt>
                <c:pt idx="15">
                  <c:v>0.31557464448052891</c:v>
                </c:pt>
                <c:pt idx="16">
                  <c:v>0.31517641513729749</c:v>
                </c:pt>
                <c:pt idx="17">
                  <c:v>0.31475974993527689</c:v>
                </c:pt>
                <c:pt idx="18">
                  <c:v>0.31432464887446748</c:v>
                </c:pt>
                <c:pt idx="19">
                  <c:v>0.31387111195486911</c:v>
                </c:pt>
                <c:pt idx="20">
                  <c:v>0.31339913917648182</c:v>
                </c:pt>
                <c:pt idx="21">
                  <c:v>0.31290873053930551</c:v>
                </c:pt>
                <c:pt idx="22">
                  <c:v>0.31239988604334012</c:v>
                </c:pt>
                <c:pt idx="23">
                  <c:v>0.31187260568858588</c:v>
                </c:pt>
                <c:pt idx="24">
                  <c:v>0.31132688947504256</c:v>
                </c:pt>
                <c:pt idx="25">
                  <c:v>0.31076273740271038</c:v>
                </c:pt>
                <c:pt idx="26">
                  <c:v>0.31018014947158912</c:v>
                </c:pt>
                <c:pt idx="27">
                  <c:v>0.309579125681679</c:v>
                </c:pt>
                <c:pt idx="28">
                  <c:v>0.30895966603298003</c:v>
                </c:pt>
                <c:pt idx="29">
                  <c:v>0.30832177052549198</c:v>
                </c:pt>
                <c:pt idx="30">
                  <c:v>0.30766543915921485</c:v>
                </c:pt>
                <c:pt idx="31">
                  <c:v>0.30699067193414886</c:v>
                </c:pt>
                <c:pt idx="32">
                  <c:v>0.30629746885029385</c:v>
                </c:pt>
                <c:pt idx="33">
                  <c:v>0.30558582990764988</c:v>
                </c:pt>
                <c:pt idx="34">
                  <c:v>0.30485575510621699</c:v>
                </c:pt>
                <c:pt idx="35">
                  <c:v>0.30410724444599524</c:v>
                </c:pt>
                <c:pt idx="36">
                  <c:v>0.30334029792698436</c:v>
                </c:pt>
                <c:pt idx="37">
                  <c:v>0.30255491554918457</c:v>
                </c:pt>
                <c:pt idx="38">
                  <c:v>0.30175109731259581</c:v>
                </c:pt>
                <c:pt idx="39">
                  <c:v>0.30092884321721808</c:v>
                </c:pt>
                <c:pt idx="40">
                  <c:v>0.30008815326305127</c:v>
                </c:pt>
                <c:pt idx="41">
                  <c:v>0.29922902745009566</c:v>
                </c:pt>
                <c:pt idx="42">
                  <c:v>0.29835146577835109</c:v>
                </c:pt>
                <c:pt idx="43">
                  <c:v>0.29745546824781749</c:v>
                </c:pt>
                <c:pt idx="44">
                  <c:v>0.29654103485849481</c:v>
                </c:pt>
                <c:pt idx="45">
                  <c:v>0.29560816561038339</c:v>
                </c:pt>
                <c:pt idx="46">
                  <c:v>0.29465686050348289</c:v>
                </c:pt>
                <c:pt idx="47">
                  <c:v>0.29368711953779336</c:v>
                </c:pt>
                <c:pt idx="48">
                  <c:v>0.29269894271331487</c:v>
                </c:pt>
                <c:pt idx="49">
                  <c:v>0.29169233003004752</c:v>
                </c:pt>
                <c:pt idx="50">
                  <c:v>0.29066728148799109</c:v>
                </c:pt>
                <c:pt idx="51">
                  <c:v>0.28962379708714575</c:v>
                </c:pt>
                <c:pt idx="52">
                  <c:v>0.28856187682751155</c:v>
                </c:pt>
                <c:pt idx="53">
                  <c:v>0.28748152070908817</c:v>
                </c:pt>
                <c:pt idx="54">
                  <c:v>0.28638272873187604</c:v>
                </c:pt>
                <c:pt idx="55">
                  <c:v>0.28526550089587471</c:v>
                </c:pt>
                <c:pt idx="56">
                  <c:v>0.28412983720108459</c:v>
                </c:pt>
                <c:pt idx="57">
                  <c:v>0.28297573764750544</c:v>
                </c:pt>
                <c:pt idx="58">
                  <c:v>0.28180320223513722</c:v>
                </c:pt>
                <c:pt idx="59">
                  <c:v>0.28061223096398025</c:v>
                </c:pt>
                <c:pt idx="60">
                  <c:v>0.27940282383403442</c:v>
                </c:pt>
                <c:pt idx="61">
                  <c:v>0.2781749808452994</c:v>
                </c:pt>
                <c:pt idx="62">
                  <c:v>0.27692870199777536</c:v>
                </c:pt>
                <c:pt idx="63">
                  <c:v>0.27566398729146241</c:v>
                </c:pt>
                <c:pt idx="64">
                  <c:v>0.27438083672636049</c:v>
                </c:pt>
                <c:pt idx="65">
                  <c:v>0.27307925030246966</c:v>
                </c:pt>
                <c:pt idx="66">
                  <c:v>0.2717592280197898</c:v>
                </c:pt>
                <c:pt idx="67">
                  <c:v>0.27042076987832092</c:v>
                </c:pt>
                <c:pt idx="68">
                  <c:v>0.26906387587806324</c:v>
                </c:pt>
                <c:pt idx="69">
                  <c:v>0.26768854601901643</c:v>
                </c:pt>
                <c:pt idx="70">
                  <c:v>0.26629478030118076</c:v>
                </c:pt>
                <c:pt idx="71">
                  <c:v>0.26488257872455606</c:v>
                </c:pt>
                <c:pt idx="72">
                  <c:v>0.26345194128914251</c:v>
                </c:pt>
                <c:pt idx="73">
                  <c:v>0.26200286799493983</c:v>
                </c:pt>
                <c:pt idx="74">
                  <c:v>0.26053535884194828</c:v>
                </c:pt>
                <c:pt idx="75">
                  <c:v>0.25904941383016777</c:v>
                </c:pt>
                <c:pt idx="76">
                  <c:v>0.25754503295959824</c:v>
                </c:pt>
                <c:pt idx="77">
                  <c:v>0.25602221623023974</c:v>
                </c:pt>
                <c:pt idx="78">
                  <c:v>0.25448096364209238</c:v>
                </c:pt>
                <c:pt idx="79">
                  <c:v>0.25292127519515595</c:v>
                </c:pt>
                <c:pt idx="80">
                  <c:v>0.25134315088943054</c:v>
                </c:pt>
                <c:pt idx="81">
                  <c:v>0.2497465907249164</c:v>
                </c:pt>
                <c:pt idx="82">
                  <c:v>0.24813159470161297</c:v>
                </c:pt>
                <c:pt idx="83">
                  <c:v>0.24649816281952069</c:v>
                </c:pt>
                <c:pt idx="84">
                  <c:v>0.24484629507863948</c:v>
                </c:pt>
                <c:pt idx="85">
                  <c:v>0.24317599147896929</c:v>
                </c:pt>
                <c:pt idx="86">
                  <c:v>0.24148725202051013</c:v>
                </c:pt>
                <c:pt idx="87">
                  <c:v>0.23978007670326196</c:v>
                </c:pt>
                <c:pt idx="88">
                  <c:v>0.23805446552722484</c:v>
                </c:pt>
                <c:pt idx="89">
                  <c:v>0.23631041849239875</c:v>
                </c:pt>
                <c:pt idx="90">
                  <c:v>0.23454793559878381</c:v>
                </c:pt>
              </c:numCache>
            </c:numRef>
          </c:yVal>
          <c:smooth val="0"/>
          <c:extLst>
            <c:ext xmlns:c16="http://schemas.microsoft.com/office/drawing/2014/chart" uri="{C3380CC4-5D6E-409C-BE32-E72D297353CC}">
              <c16:uniqueId val="{00000003-841F-4289-BF19-2446A1AFAAE4}"/>
            </c:ext>
          </c:extLst>
        </c:ser>
        <c:ser>
          <c:idx val="4"/>
          <c:order val="4"/>
          <c:spPr>
            <a:ln w="25400">
              <a:solidFill>
                <a:srgbClr val="800000"/>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TSData1!$AR$5:$AR$95</c:f>
              <c:numCache>
                <c:formatCode>General</c:formatCode>
                <c:ptCount val="91"/>
                <c:pt idx="0">
                  <c:v>7.9833945393581365</c:v>
                </c:pt>
                <c:pt idx="1">
                  <c:v>7.983272847896739</c:v>
                </c:pt>
                <c:pt idx="2">
                  <c:v>7.9831327205765525</c:v>
                </c:pt>
                <c:pt idx="3">
                  <c:v>7.9829741573975799</c:v>
                </c:pt>
                <c:pt idx="4">
                  <c:v>7.9827971583598156</c:v>
                </c:pt>
                <c:pt idx="5">
                  <c:v>7.9826017234632598</c:v>
                </c:pt>
                <c:pt idx="6">
                  <c:v>7.9823878527079186</c:v>
                </c:pt>
                <c:pt idx="7">
                  <c:v>7.9821555460937921</c:v>
                </c:pt>
                <c:pt idx="8">
                  <c:v>7.9819048036208686</c:v>
                </c:pt>
                <c:pt idx="9">
                  <c:v>7.9816356252891625</c:v>
                </c:pt>
                <c:pt idx="10">
                  <c:v>7.981348011098663</c:v>
                </c:pt>
                <c:pt idx="11">
                  <c:v>7.9810419610493764</c:v>
                </c:pt>
                <c:pt idx="12">
                  <c:v>7.9807174751413026</c:v>
                </c:pt>
                <c:pt idx="13">
                  <c:v>7.9803745533744355</c:v>
                </c:pt>
                <c:pt idx="14">
                  <c:v>7.9800131957487812</c:v>
                </c:pt>
                <c:pt idx="15">
                  <c:v>7.9796334022643416</c:v>
                </c:pt>
                <c:pt idx="16">
                  <c:v>7.9792351729211104</c:v>
                </c:pt>
                <c:pt idx="17">
                  <c:v>7.9788185077190859</c:v>
                </c:pt>
                <c:pt idx="18">
                  <c:v>7.9783834066582795</c:v>
                </c:pt>
                <c:pt idx="19">
                  <c:v>7.9779298697386798</c:v>
                </c:pt>
                <c:pt idx="20">
                  <c:v>7.9774578969602947</c:v>
                </c:pt>
                <c:pt idx="21">
                  <c:v>7.9769674883231199</c:v>
                </c:pt>
                <c:pt idx="22">
                  <c:v>7.9764586438271516</c:v>
                </c:pt>
                <c:pt idx="23">
                  <c:v>7.9759313634723972</c:v>
                </c:pt>
                <c:pt idx="24">
                  <c:v>7.975385647258852</c:v>
                </c:pt>
                <c:pt idx="25">
                  <c:v>7.9748214951865242</c:v>
                </c:pt>
                <c:pt idx="26">
                  <c:v>7.9742389072554012</c:v>
                </c:pt>
                <c:pt idx="27">
                  <c:v>7.9736378834654911</c:v>
                </c:pt>
                <c:pt idx="28">
                  <c:v>7.973018423816792</c:v>
                </c:pt>
                <c:pt idx="29">
                  <c:v>7.9723805283093023</c:v>
                </c:pt>
                <c:pt idx="30">
                  <c:v>7.9717241969430273</c:v>
                </c:pt>
                <c:pt idx="31">
                  <c:v>7.9710494297179597</c:v>
                </c:pt>
                <c:pt idx="32">
                  <c:v>7.9703562266341059</c:v>
                </c:pt>
                <c:pt idx="33">
                  <c:v>7.9696445876914588</c:v>
                </c:pt>
                <c:pt idx="34">
                  <c:v>7.9689145128900281</c:v>
                </c:pt>
                <c:pt idx="35">
                  <c:v>7.9681660022298075</c:v>
                </c:pt>
                <c:pt idx="36">
                  <c:v>7.9673990557107972</c:v>
                </c:pt>
                <c:pt idx="37">
                  <c:v>7.9666136733329962</c:v>
                </c:pt>
                <c:pt idx="38">
                  <c:v>7.9658098550964072</c:v>
                </c:pt>
                <c:pt idx="39">
                  <c:v>7.9649876010010301</c:v>
                </c:pt>
                <c:pt idx="40">
                  <c:v>7.9641469110468641</c:v>
                </c:pt>
                <c:pt idx="41">
                  <c:v>7.9632877852339083</c:v>
                </c:pt>
                <c:pt idx="42">
                  <c:v>7.9624102235621601</c:v>
                </c:pt>
                <c:pt idx="43">
                  <c:v>7.9615142260316283</c:v>
                </c:pt>
                <c:pt idx="44">
                  <c:v>7.9605997926423075</c:v>
                </c:pt>
                <c:pt idx="45">
                  <c:v>7.6362076355437294</c:v>
                </c:pt>
                <c:pt idx="46">
                  <c:v>7.1506688350368854</c:v>
                </c:pt>
                <c:pt idx="47">
                  <c:v>6.9253318275487814</c:v>
                </c:pt>
                <c:pt idx="48">
                  <c:v>6.7106418334350044</c:v>
                </c:pt>
                <c:pt idx="49">
                  <c:v>6.5059386754566582</c:v>
                </c:pt>
                <c:pt idx="50">
                  <c:v>6.1240995590588252</c:v>
                </c:pt>
                <c:pt idx="51">
                  <c:v>5.9458774803229568</c:v>
                </c:pt>
                <c:pt idx="52">
                  <c:v>5.7754622645466611</c:v>
                </c:pt>
                <c:pt idx="53">
                  <c:v>5.4562873052502336</c:v>
                </c:pt>
                <c:pt idx="54">
                  <c:v>5.3067219753446428</c:v>
                </c:pt>
                <c:pt idx="55">
                  <c:v>5.1633472475255351</c:v>
                </c:pt>
                <c:pt idx="56">
                  <c:v>5.0258262758105188</c:v>
                </c:pt>
                <c:pt idx="57">
                  <c:v>4.7671094459221104</c:v>
                </c:pt>
                <c:pt idx="58">
                  <c:v>4.6453459005723481</c:v>
                </c:pt>
                <c:pt idx="59">
                  <c:v>4.5282976205627499</c:v>
                </c:pt>
                <c:pt idx="60">
                  <c:v>4.3074010741030717</c:v>
                </c:pt>
                <c:pt idx="61">
                  <c:v>4.2031165584490875</c:v>
                </c:pt>
                <c:pt idx="62">
                  <c:v>4.1026726546324417</c:v>
                </c:pt>
                <c:pt idx="63">
                  <c:v>3.9125731429580326</c:v>
                </c:pt>
                <c:pt idx="64">
                  <c:v>3.8225778420140948</c:v>
                </c:pt>
                <c:pt idx="65">
                  <c:v>3.73574224862009</c:v>
                </c:pt>
                <c:pt idx="66">
                  <c:v>3.5709742184490922</c:v>
                </c:pt>
                <c:pt idx="67">
                  <c:v>3.4927740999170993</c:v>
                </c:pt>
                <c:pt idx="68">
                  <c:v>3.4171972379912785</c:v>
                </c:pt>
                <c:pt idx="69">
                  <c:v>3.2734559664299048</c:v>
                </c:pt>
                <c:pt idx="70">
                  <c:v>3.2050783215277203</c:v>
                </c:pt>
                <c:pt idx="71">
                  <c:v>3.0748180950115365</c:v>
                </c:pt>
                <c:pt idx="72">
                  <c:v>3.0127545335384949</c:v>
                </c:pt>
                <c:pt idx="73">
                  <c:v>2.9526224923063813</c:v>
                </c:pt>
                <c:pt idx="74">
                  <c:v>2.8378401375528237</c:v>
                </c:pt>
                <c:pt idx="75">
                  <c:v>2.783043217211711</c:v>
                </c:pt>
                <c:pt idx="76">
                  <c:v>2.6782983737781656</c:v>
                </c:pt>
                <c:pt idx="77">
                  <c:v>2.628224560803516</c:v>
                </c:pt>
                <c:pt idx="78">
                  <c:v>2.5323819490312962</c:v>
                </c:pt>
                <c:pt idx="79">
                  <c:v>2.4865045616456185</c:v>
                </c:pt>
                <c:pt idx="80">
                  <c:v>2.4419216383966638</c:v>
                </c:pt>
                <c:pt idx="81">
                  <c:v>2.3564488385843472</c:v>
                </c:pt>
                <c:pt idx="82">
                  <c:v>2.3154692137689312</c:v>
                </c:pt>
                <c:pt idx="83">
                  <c:v>2.2368141945624735</c:v>
                </c:pt>
                <c:pt idx="84">
                  <c:v>2.1990606439458977</c:v>
                </c:pt>
                <c:pt idx="85">
                  <c:v>2.1265188346451258</c:v>
                </c:pt>
                <c:pt idx="86">
                  <c:v>2.0916622607038371</c:v>
                </c:pt>
                <c:pt idx="87">
                  <c:v>2.0246178593890036</c:v>
                </c:pt>
                <c:pt idx="88">
                  <c:v>1.9923701076378253</c:v>
                </c:pt>
                <c:pt idx="89">
                  <c:v>1.9302829920419258</c:v>
                </c:pt>
                <c:pt idx="90">
                  <c:v>1.9003908878851137</c:v>
                </c:pt>
              </c:numCache>
            </c:numRef>
          </c:yVal>
          <c:smooth val="0"/>
          <c:extLst>
            <c:ext xmlns:c16="http://schemas.microsoft.com/office/drawing/2014/chart" uri="{C3380CC4-5D6E-409C-BE32-E72D297353CC}">
              <c16:uniqueId val="{00000004-841F-4289-BF19-2446A1AFAAE4}"/>
            </c:ext>
          </c:extLst>
        </c:ser>
        <c:dLbls>
          <c:showLegendKey val="0"/>
          <c:showVal val="0"/>
          <c:showCatName val="0"/>
          <c:showSerName val="0"/>
          <c:showPercent val="0"/>
          <c:showBubbleSize val="0"/>
        </c:dLbls>
        <c:axId val="565873848"/>
        <c:axId val="565874240"/>
      </c:scatterChart>
      <c:valAx>
        <c:axId val="565873848"/>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518342183971188"/>
              <c:y val="0.9291346849360364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4240"/>
        <c:crosses val="autoZero"/>
        <c:crossBetween val="midCat"/>
      </c:valAx>
      <c:valAx>
        <c:axId val="565874240"/>
        <c:scaling>
          <c:orientation val="minMax"/>
          <c:min val="0"/>
        </c:scaling>
        <c:delete val="0"/>
        <c:axPos val="l"/>
        <c:majorGridlines>
          <c:spPr>
            <a:ln w="3175">
              <a:solidFill>
                <a:srgbClr val="000000"/>
              </a:solidFill>
              <a:prstDash val="solid"/>
            </a:ln>
          </c:spPr>
        </c:majorGridlines>
        <c:title>
          <c:tx>
            <c:strRef>
              <c:f>TSData1!$AJ$2</c:f>
              <c:strCache>
                <c:ptCount val="1"/>
                <c:pt idx="0">
                  <c:v>Output Power KiloWatts</c:v>
                </c:pt>
              </c:strCache>
            </c:strRef>
          </c:tx>
          <c:layout>
            <c:manualLayout>
              <c:xMode val="edge"/>
              <c:yMode val="edge"/>
              <c:x val="5.3156146179401995E-2"/>
              <c:y val="0.3720476574286483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384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Motor Efficiency</a:t>
            </a:r>
          </a:p>
        </c:rich>
      </c:tx>
      <c:layout>
        <c:manualLayout>
          <c:xMode val="edge"/>
          <c:yMode val="edge"/>
          <c:x val="0.3466677165354331"/>
          <c:y val="2.9940119760479247E-2"/>
        </c:manualLayout>
      </c:layout>
      <c:overlay val="0"/>
      <c:spPr>
        <a:noFill/>
        <a:ln w="25400">
          <a:noFill/>
        </a:ln>
      </c:spPr>
    </c:title>
    <c:autoTitleDeleted val="0"/>
    <c:plotArea>
      <c:layout>
        <c:manualLayout>
          <c:layoutTarget val="inner"/>
          <c:xMode val="edge"/>
          <c:yMode val="edge"/>
          <c:x val="0.20666733941191337"/>
          <c:y val="0.13173678373094391"/>
          <c:w val="0.70000227865325082"/>
          <c:h val="0.74251641739259644"/>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TSData1!$R$5:$R$95</c:f>
              <c:numCache>
                <c:formatCode>General</c:formatCode>
                <c:ptCount val="91"/>
                <c:pt idx="0">
                  <c:v>0</c:v>
                </c:pt>
                <c:pt idx="1">
                  <c:v>0.33313657285176052</c:v>
                </c:pt>
                <c:pt idx="2">
                  <c:v>0.49934017125628422</c:v>
                </c:pt>
                <c:pt idx="3">
                  <c:v>0.59889748405170307</c:v>
                </c:pt>
                <c:pt idx="4">
                  <c:v>0.66516675193071484</c:v>
                </c:pt>
                <c:pt idx="5">
                  <c:v>0.71242709182534114</c:v>
                </c:pt>
                <c:pt idx="6">
                  <c:v>0.74781239638783237</c:v>
                </c:pt>
                <c:pt idx="7">
                  <c:v>0.77528369819948595</c:v>
                </c:pt>
                <c:pt idx="8">
                  <c:v>0.79721660507006908</c:v>
                </c:pt>
                <c:pt idx="9">
                  <c:v>0.81512236273718353</c:v>
                </c:pt>
                <c:pt idx="10">
                  <c:v>0.83000819583998775</c:v>
                </c:pt>
                <c:pt idx="11">
                  <c:v>0.84257125661109833</c:v>
                </c:pt>
                <c:pt idx="12">
                  <c:v>0.85330941507897695</c:v>
                </c:pt>
                <c:pt idx="13">
                  <c:v>0.86258771446722005</c:v>
                </c:pt>
                <c:pt idx="14">
                  <c:v>0.87067989594746165</c:v>
                </c:pt>
                <c:pt idx="15">
                  <c:v>0.87779526213172809</c:v>
                </c:pt>
                <c:pt idx="16">
                  <c:v>0.88409658291222226</c:v>
                </c:pt>
                <c:pt idx="17">
                  <c:v>0.88971234493660967</c:v>
                </c:pt>
                <c:pt idx="18">
                  <c:v>0.89474532507337845</c:v>
                </c:pt>
                <c:pt idx="19">
                  <c:v>0.89927871357347089</c:v>
                </c:pt>
                <c:pt idx="20">
                  <c:v>0.90338056679468959</c:v>
                </c:pt>
                <c:pt idx="21">
                  <c:v>0.90710709802274769</c:v>
                </c:pt>
                <c:pt idx="22">
                  <c:v>0.91050514536681493</c:v>
                </c:pt>
                <c:pt idx="23">
                  <c:v>0.91361404720696793</c:v>
                </c:pt>
                <c:pt idx="24">
                  <c:v>0.91646708473760086</c:v>
                </c:pt>
                <c:pt idx="25">
                  <c:v>0.91909260386738656</c:v>
                </c:pt>
                <c:pt idx="26">
                  <c:v>0.92151489665470643</c:v>
                </c:pt>
                <c:pt idx="27">
                  <c:v>0.92375490033428298</c:v>
                </c:pt>
                <c:pt idx="28">
                  <c:v>0.92583075650595315</c:v>
                </c:pt>
                <c:pt idx="29">
                  <c:v>0.92775826206822642</c:v>
                </c:pt>
                <c:pt idx="30">
                  <c:v>0.92955123558203656</c:v>
                </c:pt>
                <c:pt idx="31">
                  <c:v>0.93122181700706685</c:v>
                </c:pt>
                <c:pt idx="32">
                  <c:v>0.93278071453050959</c:v>
                </c:pt>
                <c:pt idx="33">
                  <c:v>0.93423740907157371</c:v>
                </c:pt>
                <c:pt idx="34">
                  <c:v>0.93560032469278898</c:v>
                </c:pt>
                <c:pt idx="35">
                  <c:v>0.93687697136914549</c:v>
                </c:pt>
                <c:pt idx="36">
                  <c:v>0.93807406520778902</c:v>
                </c:pt>
                <c:pt idx="37">
                  <c:v>0.93919763016612079</c:v>
                </c:pt>
                <c:pt idx="38">
                  <c:v>0.94025308450647826</c:v>
                </c:pt>
                <c:pt idx="39">
                  <c:v>0.94124531459359984</c:v>
                </c:pt>
                <c:pt idx="40">
                  <c:v>0.94217873814459974</c:v>
                </c:pt>
                <c:pt idx="41">
                  <c:v>0.94305735864859086</c:v>
                </c:pt>
                <c:pt idx="42">
                  <c:v>0.94388481236083921</c:v>
                </c:pt>
                <c:pt idx="43">
                  <c:v>0.94466440902652671</c:v>
                </c:pt>
                <c:pt idx="44">
                  <c:v>0.94539916728830142</c:v>
                </c:pt>
                <c:pt idx="45">
                  <c:v>0.94609184556931114</c:v>
                </c:pt>
                <c:pt idx="46">
                  <c:v>0.94674496909148687</c:v>
                </c:pt>
                <c:pt idx="47">
                  <c:v>0.94736085358105815</c:v>
                </c:pt>
                <c:pt idx="48">
                  <c:v>0.94794162612498001</c:v>
                </c:pt>
                <c:pt idx="49">
                  <c:v>0.94848924356917264</c:v>
                </c:pt>
                <c:pt idx="50">
                  <c:v>0.94900550878933387</c:v>
                </c:pt>
                <c:pt idx="51">
                  <c:v>0.94949208511512539</c:v>
                </c:pt>
                <c:pt idx="52">
                  <c:v>0.9499505091469399</c:v>
                </c:pt>
                <c:pt idx="53">
                  <c:v>0.95038220216962077</c:v>
                </c:pt>
                <c:pt idx="54">
                  <c:v>0.95078848033830654</c:v>
                </c:pt>
                <c:pt idx="55">
                  <c:v>0.95117056378697951</c:v>
                </c:pt>
                <c:pt idx="56">
                  <c:v>0.95152958478948457</c:v>
                </c:pt>
                <c:pt idx="57">
                  <c:v>0.95186659508520022</c:v>
                </c:pt>
                <c:pt idx="58">
                  <c:v>0.95218257246655646</c:v>
                </c:pt>
                <c:pt idx="59">
                  <c:v>0.95247842671282301</c:v>
                </c:pt>
                <c:pt idx="60">
                  <c:v>0.95275500494369103</c:v>
                </c:pt>
                <c:pt idx="61">
                  <c:v>0.95301309645680865</c:v>
                </c:pt>
                <c:pt idx="62">
                  <c:v>0.95325343710539767</c:v>
                </c:pt>
                <c:pt idx="63">
                  <c:v>0.95347671326513417</c:v>
                </c:pt>
                <c:pt idx="64">
                  <c:v>0.95368356543350996</c:v>
                </c:pt>
                <c:pt idx="65">
                  <c:v>0.95387459149969622</c:v>
                </c:pt>
                <c:pt idx="66">
                  <c:v>0.95405034971843805</c:v>
                </c:pt>
                <c:pt idx="67">
                  <c:v>0.95421136141758955</c:v>
                </c:pt>
                <c:pt idx="68">
                  <c:v>0.95435811346549493</c:v>
                </c:pt>
                <c:pt idx="69">
                  <c:v>0.95449106052143329</c:v>
                </c:pt>
                <c:pt idx="70">
                  <c:v>0.95461062708973543</c:v>
                </c:pt>
                <c:pt idx="71">
                  <c:v>0.954717209395889</c:v>
                </c:pt>
                <c:pt idx="72">
                  <c:v>0.95481117710093166</c:v>
                </c:pt>
                <c:pt idx="73">
                  <c:v>0.95489287486866536</c:v>
                </c:pt>
                <c:pt idx="74">
                  <c:v>0.95496262379863328</c:v>
                </c:pt>
                <c:pt idx="75">
                  <c:v>0.95502072273644456</c:v>
                </c:pt>
                <c:pt idx="76">
                  <c:v>0.95506744947176792</c:v>
                </c:pt>
                <c:pt idx="77">
                  <c:v>0.95510306183324212</c:v>
                </c:pt>
                <c:pt idx="78">
                  <c:v>0.95512779868856656</c:v>
                </c:pt>
                <c:pt idx="79">
                  <c:v>0.95514188085716289</c:v>
                </c:pt>
                <c:pt idx="80">
                  <c:v>0.95514551194202357</c:v>
                </c:pt>
                <c:pt idx="81">
                  <c:v>0.95513887908665485</c:v>
                </c:pt>
                <c:pt idx="82">
                  <c:v>0.95512215366239239</c:v>
                </c:pt>
                <c:pt idx="83">
                  <c:v>0.95509549189080367</c:v>
                </c:pt>
                <c:pt idx="84">
                  <c:v>0.95505903540536552</c:v>
                </c:pt>
                <c:pt idx="85">
                  <c:v>0.95501291175613212</c:v>
                </c:pt>
                <c:pt idx="86">
                  <c:v>0.95495723486069872</c:v>
                </c:pt>
                <c:pt idx="87">
                  <c:v>0.954892105404336</c:v>
                </c:pt>
                <c:pt idx="88">
                  <c:v>0.95481761119184971</c:v>
                </c:pt>
                <c:pt idx="89">
                  <c:v>0.95473382745333091</c:v>
                </c:pt>
                <c:pt idx="90">
                  <c:v>0.9546408171056997</c:v>
                </c:pt>
              </c:numCache>
            </c:numRef>
          </c:yVal>
          <c:smooth val="0"/>
          <c:extLst>
            <c:ext xmlns:c16="http://schemas.microsoft.com/office/drawing/2014/chart" uri="{C3380CC4-5D6E-409C-BE32-E72D297353CC}">
              <c16:uniqueId val="{00000000-C81D-4B47-9642-2E0C662B1044}"/>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TSData1!$S$5:$S$95</c:f>
              <c:numCache>
                <c:formatCode>General</c:formatCode>
                <c:ptCount val="91"/>
                <c:pt idx="0">
                  <c:v>0</c:v>
                </c:pt>
                <c:pt idx="1">
                  <c:v>5.286590907873915E-2</c:v>
                </c:pt>
                <c:pt idx="2">
                  <c:v>0.10041028605569242</c:v>
                </c:pt>
                <c:pt idx="3">
                  <c:v>0.14339722774275176</c:v>
                </c:pt>
                <c:pt idx="4">
                  <c:v>0.18245122785188467</c:v>
                </c:pt>
                <c:pt idx="5">
                  <c:v>0.21808766679800512</c:v>
                </c:pt>
                <c:pt idx="6">
                  <c:v>0.25073564504628199</c:v>
                </c:pt>
                <c:pt idx="7">
                  <c:v>0.28075531299108414</c:v>
                </c:pt>
                <c:pt idx="8">
                  <c:v>0.30845118516910969</c:v>
                </c:pt>
                <c:pt idx="9">
                  <c:v>0.33408248403163499</c:v>
                </c:pt>
                <c:pt idx="10">
                  <c:v>0.35787125872391606</c:v>
                </c:pt>
                <c:pt idx="11">
                  <c:v>0.38000881792029767</c:v>
                </c:pt>
                <c:pt idx="12">
                  <c:v>0.40066087150474633</c:v>
                </c:pt>
                <c:pt idx="13">
                  <c:v>0.41997167365378257</c:v>
                </c:pt>
                <c:pt idx="14">
                  <c:v>0.4380673864951013</c:v>
                </c:pt>
                <c:pt idx="15">
                  <c:v>0.45505883021007687</c:v>
                </c:pt>
                <c:pt idx="16">
                  <c:v>0.47104374629779538</c:v>
                </c:pt>
                <c:pt idx="17">
                  <c:v>0.48610867166574445</c:v>
                </c:pt>
                <c:pt idx="18">
                  <c:v>0.50033049944448049</c:v>
                </c:pt>
                <c:pt idx="19">
                  <c:v>0.51377778596594903</c:v>
                </c:pt>
                <c:pt idx="20">
                  <c:v>0.52651185079630991</c:v>
                </c:pt>
                <c:pt idx="21">
                  <c:v>0.53858770706913695</c:v>
                </c:pt>
                <c:pt idx="22">
                  <c:v>0.5500548518957693</c:v>
                </c:pt>
                <c:pt idx="23">
                  <c:v>0.56095794080435257</c:v>
                </c:pt>
                <c:pt idx="24">
                  <c:v>0.57133736558530068</c:v>
                </c:pt>
                <c:pt idx="25">
                  <c:v>0.58122975130679067</c:v>
                </c:pt>
                <c:pt idx="26">
                  <c:v>0.59066838539083</c:v>
                </c:pt>
                <c:pt idx="27">
                  <c:v>0.59968358934334598</c:v>
                </c:pt>
                <c:pt idx="28">
                  <c:v>0.60830304188512707</c:v>
                </c:pt>
                <c:pt idx="29">
                  <c:v>0.61655206073823987</c:v>
                </c:pt>
                <c:pt idx="30">
                  <c:v>0.62445384911074919</c:v>
                </c:pt>
                <c:pt idx="31">
                  <c:v>0.63202971193383939</c:v>
                </c:pt>
                <c:pt idx="32">
                  <c:v>0.63929924609504274</c:v>
                </c:pt>
                <c:pt idx="33">
                  <c:v>0.64628050824421346</c:v>
                </c:pt>
                <c:pt idx="34">
                  <c:v>0.65299016319750514</c:v>
                </c:pt>
                <c:pt idx="35">
                  <c:v>0.65944361550704045</c:v>
                </c:pt>
                <c:pt idx="36">
                  <c:v>0.66565512638281177</c:v>
                </c:pt>
                <c:pt idx="37">
                  <c:v>0.67163791783470395</c:v>
                </c:pt>
                <c:pt idx="38">
                  <c:v>0.67740426563515621</c:v>
                </c:pt>
                <c:pt idx="39">
                  <c:v>0.68296558247795369</c:v>
                </c:pt>
                <c:pt idx="40">
                  <c:v>0.68833249251854178</c:v>
                </c:pt>
                <c:pt idx="41">
                  <c:v>0.69351489832025393</c:v>
                </c:pt>
                <c:pt idx="42">
                  <c:v>0.69852204109399418</c:v>
                </c:pt>
                <c:pt idx="43">
                  <c:v>0.7028511281324652</c:v>
                </c:pt>
                <c:pt idx="44">
                  <c:v>0.70459245436169238</c:v>
                </c:pt>
                <c:pt idx="45">
                  <c:v>0.71489682855934478</c:v>
                </c:pt>
                <c:pt idx="46">
                  <c:v>0.72934571873732945</c:v>
                </c:pt>
                <c:pt idx="47">
                  <c:v>0.73824706688227171</c:v>
                </c:pt>
                <c:pt idx="48">
                  <c:v>0.7467894537341494</c:v>
                </c:pt>
                <c:pt idx="49">
                  <c:v>0.75498642866696863</c:v>
                </c:pt>
                <c:pt idx="50">
                  <c:v>0.76701095013198206</c:v>
                </c:pt>
                <c:pt idx="51">
                  <c:v>0.77439871907523483</c:v>
                </c:pt>
                <c:pt idx="52">
                  <c:v>0.78148579664667306</c:v>
                </c:pt>
                <c:pt idx="53">
                  <c:v>0.79188606768103398</c:v>
                </c:pt>
                <c:pt idx="54">
                  <c:v>0.79827076642787076</c:v>
                </c:pt>
                <c:pt idx="55">
                  <c:v>0.80439577538754159</c:v>
                </c:pt>
                <c:pt idx="56">
                  <c:v>0.81027211367627827</c:v>
                </c:pt>
                <c:pt idx="57">
                  <c:v>0.81890953705951031</c:v>
                </c:pt>
                <c:pt idx="58">
                  <c:v>0.82420571628596628</c:v>
                </c:pt>
                <c:pt idx="59">
                  <c:v>0.82928835954786795</c:v>
                </c:pt>
                <c:pt idx="60">
                  <c:v>0.83676570848481646</c:v>
                </c:pt>
                <c:pt idx="61">
                  <c:v>0.84135038739650347</c:v>
                </c:pt>
                <c:pt idx="62">
                  <c:v>0.84575209114291683</c:v>
                </c:pt>
                <c:pt idx="63">
                  <c:v>0.8522341745498323</c:v>
                </c:pt>
                <c:pt idx="64">
                  <c:v>0.8562091029526423</c:v>
                </c:pt>
                <c:pt idx="65">
                  <c:v>0.86002734033865835</c:v>
                </c:pt>
                <c:pt idx="66">
                  <c:v>0.86565631680548571</c:v>
                </c:pt>
                <c:pt idx="67">
                  <c:v>0.86910885148109518</c:v>
                </c:pt>
                <c:pt idx="68">
                  <c:v>0.8724271373155652</c:v>
                </c:pt>
                <c:pt idx="69">
                  <c:v>0.87732466670415632</c:v>
                </c:pt>
                <c:pt idx="70">
                  <c:v>0.88032932707365152</c:v>
                </c:pt>
                <c:pt idx="71">
                  <c:v>0.88476503591496947</c:v>
                </c:pt>
                <c:pt idx="72">
                  <c:v>0.88748850366580789</c:v>
                </c:pt>
                <c:pt idx="73">
                  <c:v>0.89010861290173282</c:v>
                </c:pt>
                <c:pt idx="74">
                  <c:v>0.89397895945972672</c:v>
                </c:pt>
                <c:pt idx="75">
                  <c:v>0.89634046698015835</c:v>
                </c:pt>
                <c:pt idx="76">
                  <c:v>0.89978035483243157</c:v>
                </c:pt>
                <c:pt idx="77">
                  <c:v>0.90188495364737231</c:v>
                </c:pt>
                <c:pt idx="78">
                  <c:v>0.90493625715060211</c:v>
                </c:pt>
                <c:pt idx="79">
                  <c:v>0.90681711002001175</c:v>
                </c:pt>
                <c:pt idx="80">
                  <c:v>0.9086186685415869</c:v>
                </c:pt>
                <c:pt idx="81">
                  <c:v>0.91121580421186166</c:v>
                </c:pt>
                <c:pt idx="82">
                  <c:v>0.91283073323474107</c:v>
                </c:pt>
                <c:pt idx="83">
                  <c:v>0.91514709067475353</c:v>
                </c:pt>
                <c:pt idx="84">
                  <c:v>0.91659738336600016</c:v>
                </c:pt>
                <c:pt idx="85">
                  <c:v>0.91866663854575648</c:v>
                </c:pt>
                <c:pt idx="86">
                  <c:v>0.919970970411218</c:v>
                </c:pt>
                <c:pt idx="87">
                  <c:v>0.92182163505320569</c:v>
                </c:pt>
                <c:pt idx="88">
                  <c:v>0.92299594819060615</c:v>
                </c:pt>
                <c:pt idx="89">
                  <c:v>0.92465229054810971</c:v>
                </c:pt>
                <c:pt idx="90">
                  <c:v>0.92571026013016133</c:v>
                </c:pt>
              </c:numCache>
            </c:numRef>
          </c:yVal>
          <c:smooth val="0"/>
          <c:extLst>
            <c:ext xmlns:c16="http://schemas.microsoft.com/office/drawing/2014/chart" uri="{C3380CC4-5D6E-409C-BE32-E72D297353CC}">
              <c16:uniqueId val="{00000001-C81D-4B47-9642-2E0C662B1044}"/>
            </c:ext>
          </c:extLst>
        </c:ser>
        <c:dLbls>
          <c:showLegendKey val="0"/>
          <c:showVal val="0"/>
          <c:showCatName val="0"/>
          <c:showSerName val="0"/>
          <c:showPercent val="0"/>
          <c:showBubbleSize val="0"/>
        </c:dLbls>
        <c:axId val="224768392"/>
        <c:axId val="224768784"/>
      </c:scatterChart>
      <c:valAx>
        <c:axId val="224768392"/>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4768784"/>
        <c:crosses val="autoZero"/>
        <c:crossBetween val="midCat"/>
      </c:valAx>
      <c:valAx>
        <c:axId val="224768784"/>
        <c:scaling>
          <c:orientation val="minMax"/>
          <c:max val="1"/>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Efficiency</a:t>
                </a:r>
              </a:p>
            </c:rich>
          </c:tx>
          <c:layout>
            <c:manualLayout>
              <c:xMode val="edge"/>
              <c:yMode val="edge"/>
              <c:x val="5.3333333333333871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476839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Advance</a:t>
            </a:r>
            <a:r>
              <a:rPr lang="en-US" baseline="0"/>
              <a:t> Angle</a:t>
            </a:r>
            <a:endParaRPr lang="en-US"/>
          </a:p>
        </c:rich>
      </c:tx>
      <c:layout>
        <c:manualLayout>
          <c:xMode val="edge"/>
          <c:yMode val="edge"/>
          <c:x val="0.3466677165354331"/>
          <c:y val="2.9940119760479261E-2"/>
        </c:manualLayout>
      </c:layout>
      <c:overlay val="0"/>
      <c:spPr>
        <a:noFill/>
        <a:ln w="25400">
          <a:noFill/>
        </a:ln>
      </c:spPr>
    </c:title>
    <c:autoTitleDeleted val="0"/>
    <c:plotArea>
      <c:layout>
        <c:manualLayout>
          <c:layoutTarget val="inner"/>
          <c:xMode val="edge"/>
          <c:yMode val="edge"/>
          <c:x val="0.20666733941191345"/>
          <c:y val="0.13173678373094391"/>
          <c:w val="0.70000227865325082"/>
          <c:h val="0.74251641739259666"/>
        </c:manualLayout>
      </c:layout>
      <c:scatterChart>
        <c:scatterStyle val="lineMarker"/>
        <c:varyColors val="0"/>
        <c:ser>
          <c:idx val="2"/>
          <c:order val="0"/>
          <c:spPr>
            <a:ln w="25400">
              <a:solidFill>
                <a:schemeClr val="accent1">
                  <a:lumMod val="75000"/>
                </a:schemeClr>
              </a:solidFill>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TSData1!$AU$5:$AU$95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0"/>
          <c:extLst>
            <c:ext xmlns:c16="http://schemas.microsoft.com/office/drawing/2014/chart" uri="{C3380CC4-5D6E-409C-BE32-E72D297353CC}">
              <c16:uniqueId val="{00000000-895E-439F-87B8-0991376B01F8}"/>
            </c:ext>
          </c:extLst>
        </c:ser>
        <c:ser>
          <c:idx val="3"/>
          <c:order val="1"/>
          <c:spPr>
            <a:ln>
              <a:solidFill>
                <a:schemeClr val="accent1">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TSData1!$AT$5:$AT$95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4.0000000000000009</c:v>
                </c:pt>
                <c:pt idx="44">
                  <c:v>10.399999999999995</c:v>
                </c:pt>
                <c:pt idx="45">
                  <c:v>11.79999999999999</c:v>
                </c:pt>
                <c:pt idx="46">
                  <c:v>12.199999999999989</c:v>
                </c:pt>
                <c:pt idx="47">
                  <c:v>12.399999999999988</c:v>
                </c:pt>
                <c:pt idx="48">
                  <c:v>12.599999999999987</c:v>
                </c:pt>
                <c:pt idx="49">
                  <c:v>12.799999999999986</c:v>
                </c:pt>
                <c:pt idx="50">
                  <c:v>13.199999999999985</c:v>
                </c:pt>
                <c:pt idx="51">
                  <c:v>13.399999999999984</c:v>
                </c:pt>
                <c:pt idx="52">
                  <c:v>13.599999999999984</c:v>
                </c:pt>
                <c:pt idx="53">
                  <c:v>13.999999999999982</c:v>
                </c:pt>
                <c:pt idx="54">
                  <c:v>14.199999999999982</c:v>
                </c:pt>
                <c:pt idx="55">
                  <c:v>14.399999999999981</c:v>
                </c:pt>
                <c:pt idx="56">
                  <c:v>14.59999999999998</c:v>
                </c:pt>
                <c:pt idx="57">
                  <c:v>14.999999999999979</c:v>
                </c:pt>
                <c:pt idx="58">
                  <c:v>15.199999999999978</c:v>
                </c:pt>
                <c:pt idx="59">
                  <c:v>15.399999999999977</c:v>
                </c:pt>
                <c:pt idx="60">
                  <c:v>15.799999999999976</c:v>
                </c:pt>
                <c:pt idx="61">
                  <c:v>15.999999999999975</c:v>
                </c:pt>
                <c:pt idx="62">
                  <c:v>16.199999999999974</c:v>
                </c:pt>
                <c:pt idx="63">
                  <c:v>16.599999999999973</c:v>
                </c:pt>
                <c:pt idx="64">
                  <c:v>16.799999999999972</c:v>
                </c:pt>
                <c:pt idx="65">
                  <c:v>16.999999999999972</c:v>
                </c:pt>
                <c:pt idx="66">
                  <c:v>17.39999999999997</c:v>
                </c:pt>
                <c:pt idx="67">
                  <c:v>17.599999999999969</c:v>
                </c:pt>
                <c:pt idx="68">
                  <c:v>17.799999999999969</c:v>
                </c:pt>
                <c:pt idx="69">
                  <c:v>18.199999999999967</c:v>
                </c:pt>
                <c:pt idx="70">
                  <c:v>18.399999999999967</c:v>
                </c:pt>
                <c:pt idx="71">
                  <c:v>18.799999999999965</c:v>
                </c:pt>
                <c:pt idx="72">
                  <c:v>18.999999999999964</c:v>
                </c:pt>
                <c:pt idx="73">
                  <c:v>19.199999999999964</c:v>
                </c:pt>
                <c:pt idx="74">
                  <c:v>19.599999999999962</c:v>
                </c:pt>
                <c:pt idx="75">
                  <c:v>19.799999999999962</c:v>
                </c:pt>
                <c:pt idx="76">
                  <c:v>20.19999999999996</c:v>
                </c:pt>
                <c:pt idx="77">
                  <c:v>20.399999999999959</c:v>
                </c:pt>
                <c:pt idx="78">
                  <c:v>20.799999999999958</c:v>
                </c:pt>
                <c:pt idx="79">
                  <c:v>20.999999999999957</c:v>
                </c:pt>
                <c:pt idx="80">
                  <c:v>21.199999999999957</c:v>
                </c:pt>
                <c:pt idx="81">
                  <c:v>21.599999999999955</c:v>
                </c:pt>
                <c:pt idx="82">
                  <c:v>21.799999999999955</c:v>
                </c:pt>
                <c:pt idx="83">
                  <c:v>22.199999999999953</c:v>
                </c:pt>
                <c:pt idx="84">
                  <c:v>22.399999999999952</c:v>
                </c:pt>
                <c:pt idx="85">
                  <c:v>22.799999999999951</c:v>
                </c:pt>
                <c:pt idx="86">
                  <c:v>22.99999999999995</c:v>
                </c:pt>
                <c:pt idx="87">
                  <c:v>23.399999999999949</c:v>
                </c:pt>
                <c:pt idx="88">
                  <c:v>23.599999999999948</c:v>
                </c:pt>
                <c:pt idx="89">
                  <c:v>23.999999999999947</c:v>
                </c:pt>
                <c:pt idx="90">
                  <c:v>24.199999999999946</c:v>
                </c:pt>
              </c:numCache>
            </c:numRef>
          </c:yVal>
          <c:smooth val="0"/>
          <c:extLst>
            <c:ext xmlns:c16="http://schemas.microsoft.com/office/drawing/2014/chart" uri="{C3380CC4-5D6E-409C-BE32-E72D297353CC}">
              <c16:uniqueId val="{00000001-895E-439F-87B8-0991376B01F8}"/>
            </c:ext>
          </c:extLst>
        </c:ser>
        <c:dLbls>
          <c:showLegendKey val="0"/>
          <c:showVal val="0"/>
          <c:showCatName val="0"/>
          <c:showSerName val="0"/>
          <c:showPercent val="0"/>
          <c:showBubbleSize val="0"/>
        </c:dLbls>
        <c:axId val="565849664"/>
        <c:axId val="221863936"/>
      </c:scatterChart>
      <c:valAx>
        <c:axId val="565849664"/>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3936"/>
        <c:crosses val="autoZero"/>
        <c:crossBetween val="midCat"/>
      </c:valAx>
      <c:valAx>
        <c:axId val="2218639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Advance</a:t>
                </a:r>
                <a:r>
                  <a:rPr lang="en-US" baseline="0"/>
                  <a:t> Angle</a:t>
                </a:r>
                <a:endParaRPr lang="en-US"/>
              </a:p>
            </c:rich>
          </c:tx>
          <c:layout>
            <c:manualLayout>
              <c:xMode val="edge"/>
              <c:yMode val="edge"/>
              <c:x val="5.3333333333333906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4966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Voltages</a:t>
            </a:r>
          </a:p>
        </c:rich>
      </c:tx>
      <c:layout>
        <c:manualLayout>
          <c:xMode val="edge"/>
          <c:yMode val="edge"/>
          <c:x val="0.39679316401239317"/>
          <c:y val="3.7924151696606789E-2"/>
        </c:manualLayout>
      </c:layout>
      <c:overlay val="0"/>
      <c:spPr>
        <a:noFill/>
        <a:ln w="25400">
          <a:noFill/>
        </a:ln>
      </c:spPr>
    </c:title>
    <c:autoTitleDeleted val="0"/>
    <c:plotArea>
      <c:layout>
        <c:manualLayout>
          <c:layoutTarget val="inner"/>
          <c:xMode val="edge"/>
          <c:yMode val="edge"/>
          <c:x val="0.20666733941191351"/>
          <c:y val="0.13173678373094391"/>
          <c:w val="0.70000227865325082"/>
          <c:h val="0.74251641739259688"/>
        </c:manualLayout>
      </c:layout>
      <c:scatterChart>
        <c:scatterStyle val="lineMarker"/>
        <c:varyColors val="0"/>
        <c:ser>
          <c:idx val="2"/>
          <c:order val="0"/>
          <c:spPr>
            <a:ln w="38100">
              <a:solidFill>
                <a:schemeClr val="accent3">
                  <a:lumMod val="75000"/>
                </a:schemeClr>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TSData1!$AW$5:$AW$95</c:f>
              <c:numCache>
                <c:formatCode>General</c:formatCode>
                <c:ptCount val="91"/>
                <c:pt idx="0">
                  <c:v>300</c:v>
                </c:pt>
                <c:pt idx="1">
                  <c:v>300</c:v>
                </c:pt>
                <c:pt idx="2">
                  <c:v>300</c:v>
                </c:pt>
                <c:pt idx="3">
                  <c:v>300</c:v>
                </c:pt>
                <c:pt idx="4">
                  <c:v>300</c:v>
                </c:pt>
                <c:pt idx="5">
                  <c:v>300</c:v>
                </c:pt>
                <c:pt idx="6">
                  <c:v>300</c:v>
                </c:pt>
                <c:pt idx="7">
                  <c:v>300</c:v>
                </c:pt>
                <c:pt idx="8">
                  <c:v>300</c:v>
                </c:pt>
                <c:pt idx="9">
                  <c:v>300</c:v>
                </c:pt>
                <c:pt idx="10">
                  <c:v>300</c:v>
                </c:pt>
                <c:pt idx="11">
                  <c:v>300</c:v>
                </c:pt>
                <c:pt idx="12">
                  <c:v>300</c:v>
                </c:pt>
                <c:pt idx="13">
                  <c:v>300</c:v>
                </c:pt>
                <c:pt idx="14">
                  <c:v>300</c:v>
                </c:pt>
                <c:pt idx="15">
                  <c:v>300</c:v>
                </c:pt>
                <c:pt idx="16">
                  <c:v>300</c:v>
                </c:pt>
                <c:pt idx="17">
                  <c:v>300</c:v>
                </c:pt>
                <c:pt idx="18">
                  <c:v>300</c:v>
                </c:pt>
                <c:pt idx="19">
                  <c:v>300</c:v>
                </c:pt>
                <c:pt idx="20">
                  <c:v>300</c:v>
                </c:pt>
                <c:pt idx="21">
                  <c:v>300</c:v>
                </c:pt>
                <c:pt idx="22">
                  <c:v>300</c:v>
                </c:pt>
                <c:pt idx="23">
                  <c:v>300</c:v>
                </c:pt>
                <c:pt idx="24">
                  <c:v>300</c:v>
                </c:pt>
                <c:pt idx="25">
                  <c:v>300</c:v>
                </c:pt>
                <c:pt idx="26">
                  <c:v>300</c:v>
                </c:pt>
                <c:pt idx="27">
                  <c:v>300</c:v>
                </c:pt>
                <c:pt idx="28">
                  <c:v>300</c:v>
                </c:pt>
                <c:pt idx="29">
                  <c:v>300</c:v>
                </c:pt>
                <c:pt idx="30">
                  <c:v>300</c:v>
                </c:pt>
                <c:pt idx="31">
                  <c:v>300</c:v>
                </c:pt>
                <c:pt idx="32">
                  <c:v>300</c:v>
                </c:pt>
                <c:pt idx="33">
                  <c:v>300</c:v>
                </c:pt>
                <c:pt idx="34">
                  <c:v>300</c:v>
                </c:pt>
                <c:pt idx="35">
                  <c:v>300</c:v>
                </c:pt>
                <c:pt idx="36">
                  <c:v>300</c:v>
                </c:pt>
                <c:pt idx="37">
                  <c:v>300</c:v>
                </c:pt>
                <c:pt idx="38">
                  <c:v>300</c:v>
                </c:pt>
                <c:pt idx="39">
                  <c:v>300</c:v>
                </c:pt>
                <c:pt idx="40">
                  <c:v>300</c:v>
                </c:pt>
                <c:pt idx="41">
                  <c:v>300</c:v>
                </c:pt>
                <c:pt idx="42">
                  <c:v>300</c:v>
                </c:pt>
                <c:pt idx="43">
                  <c:v>300</c:v>
                </c:pt>
                <c:pt idx="44">
                  <c:v>300</c:v>
                </c:pt>
                <c:pt idx="45">
                  <c:v>300</c:v>
                </c:pt>
                <c:pt idx="46">
                  <c:v>300</c:v>
                </c:pt>
                <c:pt idx="47">
                  <c:v>300</c:v>
                </c:pt>
                <c:pt idx="48">
                  <c:v>300</c:v>
                </c:pt>
                <c:pt idx="49">
                  <c:v>300</c:v>
                </c:pt>
                <c:pt idx="50">
                  <c:v>300</c:v>
                </c:pt>
                <c:pt idx="51">
                  <c:v>300</c:v>
                </c:pt>
                <c:pt idx="52">
                  <c:v>300</c:v>
                </c:pt>
                <c:pt idx="53">
                  <c:v>300</c:v>
                </c:pt>
                <c:pt idx="54">
                  <c:v>300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300</c:v>
                </c:pt>
                <c:pt idx="69">
                  <c:v>300</c:v>
                </c:pt>
                <c:pt idx="70">
                  <c:v>300</c:v>
                </c:pt>
                <c:pt idx="71">
                  <c:v>300</c:v>
                </c:pt>
                <c:pt idx="72">
                  <c:v>300</c:v>
                </c:pt>
                <c:pt idx="73">
                  <c:v>300</c:v>
                </c:pt>
                <c:pt idx="74">
                  <c:v>300</c:v>
                </c:pt>
                <c:pt idx="75">
                  <c:v>300</c:v>
                </c:pt>
                <c:pt idx="76">
                  <c:v>300</c:v>
                </c:pt>
                <c:pt idx="77">
                  <c:v>300</c:v>
                </c:pt>
                <c:pt idx="78">
                  <c:v>300</c:v>
                </c:pt>
                <c:pt idx="79">
                  <c:v>300</c:v>
                </c:pt>
                <c:pt idx="80">
                  <c:v>300</c:v>
                </c:pt>
                <c:pt idx="81">
                  <c:v>300</c:v>
                </c:pt>
                <c:pt idx="82">
                  <c:v>300</c:v>
                </c:pt>
                <c:pt idx="83">
                  <c:v>300</c:v>
                </c:pt>
                <c:pt idx="84">
                  <c:v>300</c:v>
                </c:pt>
                <c:pt idx="85">
                  <c:v>300</c:v>
                </c:pt>
                <c:pt idx="86">
                  <c:v>300</c:v>
                </c:pt>
                <c:pt idx="87">
                  <c:v>300</c:v>
                </c:pt>
                <c:pt idx="88">
                  <c:v>300</c:v>
                </c:pt>
                <c:pt idx="89">
                  <c:v>300</c:v>
                </c:pt>
                <c:pt idx="90">
                  <c:v>300</c:v>
                </c:pt>
              </c:numCache>
            </c:numRef>
          </c:yVal>
          <c:smooth val="0"/>
          <c:extLst>
            <c:ext xmlns:c16="http://schemas.microsoft.com/office/drawing/2014/chart" uri="{C3380CC4-5D6E-409C-BE32-E72D297353CC}">
              <c16:uniqueId val="{00000000-9E47-4F72-AAD1-D1B90A0B7BFD}"/>
            </c:ext>
          </c:extLst>
        </c:ser>
        <c:ser>
          <c:idx val="3"/>
          <c:order val="1"/>
          <c:spPr>
            <a:ln>
              <a:solidFill>
                <a:schemeClr val="accent1">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TSData1!$AX$5:$AX$95</c:f>
              <c:numCache>
                <c:formatCode>General</c:formatCode>
                <c:ptCount val="91"/>
                <c:pt idx="0">
                  <c:v>23.17898935805583</c:v>
                </c:pt>
                <c:pt idx="1">
                  <c:v>25.222843968520188</c:v>
                </c:pt>
                <c:pt idx="2">
                  <c:v>28.50632319353485</c:v>
                </c:pt>
                <c:pt idx="3">
                  <c:v>32.657567780926705</c:v>
                </c:pt>
                <c:pt idx="4">
                  <c:v>37.388568392246675</c:v>
                </c:pt>
                <c:pt idx="5">
                  <c:v>42.50610282015483</c:v>
                </c:pt>
                <c:pt idx="6">
                  <c:v>47.886326879645338</c:v>
                </c:pt>
                <c:pt idx="7">
                  <c:v>53.449892422294035</c:v>
                </c:pt>
                <c:pt idx="8">
                  <c:v>59.145001905254972</c:v>
                </c:pt>
                <c:pt idx="9">
                  <c:v>64.936972782846823</c:v>
                </c:pt>
                <c:pt idx="10">
                  <c:v>70.801955719238137</c:v>
                </c:pt>
                <c:pt idx="11">
                  <c:v>76.723126450438343</c:v>
                </c:pt>
                <c:pt idx="12">
                  <c:v>82.688333004513495</c:v>
                </c:pt>
                <c:pt idx="13">
                  <c:v>88.688607882302335</c:v>
                </c:pt>
                <c:pt idx="14">
                  <c:v>94.717204239879109</c:v>
                </c:pt>
                <c:pt idx="15">
                  <c:v>100.76895671174553</c:v>
                </c:pt>
                <c:pt idx="16">
                  <c:v>106.83984805167405</c:v>
                </c:pt>
                <c:pt idx="17">
                  <c:v>112.92670922131167</c:v>
                </c:pt>
                <c:pt idx="18">
                  <c:v>119.02700786579771</c:v>
                </c:pt>
                <c:pt idx="19">
                  <c:v>125.1386965094855</c:v>
                </c:pt>
                <c:pt idx="20">
                  <c:v>131.26010185671055</c:v>
                </c:pt>
                <c:pt idx="21">
                  <c:v>137.38984287434275</c:v>
                </c:pt>
                <c:pt idx="22">
                  <c:v>143.52676934957387</c:v>
                </c:pt>
                <c:pt idx="23">
                  <c:v>149.66991522895859</c:v>
                </c:pt>
                <c:pt idx="24">
                  <c:v>155.81846277406197</c:v>
                </c:pt>
                <c:pt idx="25">
                  <c:v>161.97171473270916</c:v>
                </c:pt>
                <c:pt idx="26">
                  <c:v>168.12907251995892</c:v>
                </c:pt>
                <c:pt idx="27">
                  <c:v>174.29001895408928</c:v>
                </c:pt>
                <c:pt idx="28">
                  <c:v>180.45410448011393</c:v>
                </c:pt>
                <c:pt idx="29">
                  <c:v>186.6209360888416</c:v>
                </c:pt>
                <c:pt idx="30">
                  <c:v>192.79016833780869</c:v>
                </c:pt>
                <c:pt idx="31">
                  <c:v>198.96149602476578</c:v>
                </c:pt>
                <c:pt idx="32">
                  <c:v>205.13464817056266</c:v>
                </c:pt>
                <c:pt idx="33">
                  <c:v>211.30938304711557</c:v>
                </c:pt>
                <c:pt idx="34">
                  <c:v>217.48548404523595</c:v>
                </c:pt>
                <c:pt idx="35">
                  <c:v>223.66275622177329</c:v>
                </c:pt>
                <c:pt idx="36">
                  <c:v>229.84102339957931</c:v>
                </c:pt>
                <c:pt idx="37">
                  <c:v>236.02012571995485</c:v>
                </c:pt>
                <c:pt idx="38">
                  <c:v>242.19991756748269</c:v>
                </c:pt>
                <c:pt idx="39">
                  <c:v>248.38026580291887</c:v>
                </c:pt>
                <c:pt idx="40">
                  <c:v>254.56104825218122</c:v>
                </c:pt>
                <c:pt idx="41">
                  <c:v>260.74215240923718</c:v>
                </c:pt>
                <c:pt idx="42">
                  <c:v>266.92347431844115</c:v>
                </c:pt>
                <c:pt idx="43">
                  <c:v>269.85239408755666</c:v>
                </c:pt>
                <c:pt idx="44">
                  <c:v>269.95447111236268</c:v>
                </c:pt>
                <c:pt idx="45">
                  <c:v>269.05351871905208</c:v>
                </c:pt>
                <c:pt idx="46">
                  <c:v>265.96715232614451</c:v>
                </c:pt>
                <c:pt idx="47">
                  <c:v>267.26609349782177</c:v>
                </c:pt>
                <c:pt idx="48">
                  <c:v>268.52487674983757</c:v>
                </c:pt>
                <c:pt idx="49">
                  <c:v>269.74572357090443</c:v>
                </c:pt>
                <c:pt idx="50">
                  <c:v>266.89168426298954</c:v>
                </c:pt>
                <c:pt idx="51">
                  <c:v>268.08934258186582</c:v>
                </c:pt>
                <c:pt idx="52">
                  <c:v>269.25462756683856</c:v>
                </c:pt>
                <c:pt idx="53">
                  <c:v>266.60512044689614</c:v>
                </c:pt>
                <c:pt idx="54">
                  <c:v>267.75362316158402</c:v>
                </c:pt>
                <c:pt idx="55">
                  <c:v>268.8747802434288</c:v>
                </c:pt>
                <c:pt idx="56">
                  <c:v>269.97026074923821</c:v>
                </c:pt>
                <c:pt idx="57">
                  <c:v>267.52859221273292</c:v>
                </c:pt>
                <c:pt idx="58">
                  <c:v>268.61666257002639</c:v>
                </c:pt>
                <c:pt idx="59">
                  <c:v>269.6835311157638</c:v>
                </c:pt>
                <c:pt idx="60">
                  <c:v>267.42871613759161</c:v>
                </c:pt>
                <c:pt idx="61">
                  <c:v>268.49450925936821</c:v>
                </c:pt>
                <c:pt idx="62">
                  <c:v>269.54330877968266</c:v>
                </c:pt>
                <c:pt idx="63">
                  <c:v>267.47166159041035</c:v>
                </c:pt>
                <c:pt idx="64">
                  <c:v>268.52588546625014</c:v>
                </c:pt>
                <c:pt idx="65">
                  <c:v>269.56712964959826</c:v>
                </c:pt>
                <c:pt idx="66">
                  <c:v>267.6780140489218</c:v>
                </c:pt>
                <c:pt idx="67">
                  <c:v>268.73137823159993</c:v>
                </c:pt>
                <c:pt idx="68">
                  <c:v>269.77563867158085</c:v>
                </c:pt>
                <c:pt idx="69">
                  <c:v>268.07106074364299</c:v>
                </c:pt>
                <c:pt idx="70">
                  <c:v>269.13432985064691</c:v>
                </c:pt>
                <c:pt idx="71">
                  <c:v>267.57193979677299</c:v>
                </c:pt>
                <c:pt idx="72">
                  <c:v>268.6366972262644</c:v>
                </c:pt>
                <c:pt idx="73">
                  <c:v>269.68896655125388</c:v>
                </c:pt>
                <c:pt idx="74">
                  <c:v>268.24215905600249</c:v>
                </c:pt>
                <c:pt idx="75">
                  <c:v>269.2929716552361</c:v>
                </c:pt>
                <c:pt idx="76">
                  <c:v>267.94224952292234</c:v>
                </c:pt>
                <c:pt idx="77">
                  <c:v>268.99113494633139</c:v>
                </c:pt>
                <c:pt idx="78">
                  <c:v>267.7290989057596</c:v>
                </c:pt>
                <c:pt idx="79">
                  <c:v>268.77556125433716</c:v>
                </c:pt>
                <c:pt idx="80">
                  <c:v>269.81162704803802</c:v>
                </c:pt>
                <c:pt idx="81">
                  <c:v>268.63886456962223</c:v>
                </c:pt>
                <c:pt idx="82">
                  <c:v>269.67237395653984</c:v>
                </c:pt>
                <c:pt idx="83">
                  <c:v>268.57409862635916</c:v>
                </c:pt>
                <c:pt idx="84">
                  <c:v>269.6044386566042</c:v>
                </c:pt>
                <c:pt idx="85">
                  <c:v>268.57469856501814</c:v>
                </c:pt>
                <c:pt idx="86">
                  <c:v>269.60123161577417</c:v>
                </c:pt>
                <c:pt idx="87">
                  <c:v>268.63443159786607</c:v>
                </c:pt>
                <c:pt idx="88">
                  <c:v>269.65649480263147</c:v>
                </c:pt>
                <c:pt idx="89">
                  <c:v>268.74735501938301</c:v>
                </c:pt>
                <c:pt idx="90">
                  <c:v>269.76426009433089</c:v>
                </c:pt>
              </c:numCache>
            </c:numRef>
          </c:yVal>
          <c:smooth val="0"/>
          <c:extLst>
            <c:ext xmlns:c16="http://schemas.microsoft.com/office/drawing/2014/chart" uri="{C3380CC4-5D6E-409C-BE32-E72D297353CC}">
              <c16:uniqueId val="{00000001-9E47-4F72-AAD1-D1B90A0B7BFD}"/>
            </c:ext>
          </c:extLst>
        </c:ser>
        <c:ser>
          <c:idx val="0"/>
          <c:order val="2"/>
          <c:spPr>
            <a:ln>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TSData1!$AY$5:$AY$95</c:f>
              <c:numCache>
                <c:formatCode>General</c:formatCode>
                <c:ptCount val="91"/>
                <c:pt idx="0">
                  <c:v>4.6357978716111665</c:v>
                </c:pt>
                <c:pt idx="1">
                  <c:v>7.0667264741337332</c:v>
                </c:pt>
                <c:pt idx="2">
                  <c:v>9.5999877445270645</c:v>
                </c:pt>
                <c:pt idx="3">
                  <c:v>12.171602785075873</c:v>
                </c:pt>
                <c:pt idx="4">
                  <c:v>14.761300481923374</c:v>
                </c:pt>
                <c:pt idx="5">
                  <c:v>17.360759459650978</c:v>
                </c:pt>
                <c:pt idx="6">
                  <c:v>19.965942714316636</c:v>
                </c:pt>
                <c:pt idx="7">
                  <c:v>22.574648693740741</c:v>
                </c:pt>
                <c:pt idx="8">
                  <c:v>25.1855668541466</c:v>
                </c:pt>
                <c:pt idx="9">
                  <c:v>27.797861126252119</c:v>
                </c:pt>
                <c:pt idx="10">
                  <c:v>30.410966782952851</c:v>
                </c:pt>
                <c:pt idx="11">
                  <c:v>33.02448331919279</c:v>
                </c:pt>
                <c:pt idx="12">
                  <c:v>35.638114311271373</c:v>
                </c:pt>
                <c:pt idx="13">
                  <c:v>38.25163187289143</c:v>
                </c:pt>
                <c:pt idx="14">
                  <c:v>40.864854727778798</c:v>
                </c:pt>
                <c:pt idx="15">
                  <c:v>43.477634181421308</c:v>
                </c:pt>
                <c:pt idx="16">
                  <c:v>46.089844861415486</c:v>
                </c:pt>
                <c:pt idx="17">
                  <c:v>48.701378437154432</c:v>
                </c:pt>
                <c:pt idx="18">
                  <c:v>51.312139257493953</c:v>
                </c:pt>
                <c:pt idx="19">
                  <c:v>53.922041256048999</c:v>
                </c:pt>
                <c:pt idx="20">
                  <c:v>56.531005714053165</c:v>
                </c:pt>
                <c:pt idx="21">
                  <c:v>59.138959615564836</c:v>
                </c:pt>
                <c:pt idx="22">
                  <c:v>61.745834419540508</c:v>
                </c:pt>
                <c:pt idx="23">
                  <c:v>64.3515651302707</c:v>
                </c:pt>
                <c:pt idx="24">
                  <c:v>66.956089584653554</c:v>
                </c:pt>
                <c:pt idx="25">
                  <c:v>69.559347899268019</c:v>
                </c:pt>
                <c:pt idx="26">
                  <c:v>72.161282036724359</c:v>
                </c:pt>
                <c:pt idx="27">
                  <c:v>74.761835462089465</c:v>
                </c:pt>
                <c:pt idx="28">
                  <c:v>77.360952868072658</c:v>
                </c:pt>
                <c:pt idx="29">
                  <c:v>79.958579953221545</c:v>
                </c:pt>
                <c:pt idx="30">
                  <c:v>82.554663241363258</c:v>
                </c:pt>
                <c:pt idx="31">
                  <c:v>85.149149933408822</c:v>
                </c:pt>
                <c:pt idx="32">
                  <c:v>87.741987784751444</c:v>
                </c:pt>
                <c:pt idx="33">
                  <c:v>90.33312500305226</c:v>
                </c:pt>
                <c:pt idx="34">
                  <c:v>92.922510162374692</c:v>
                </c:pt>
                <c:pt idx="35">
                  <c:v>95.510092130510131</c:v>
                </c:pt>
                <c:pt idx="36">
                  <c:v>98.095820007006665</c:v>
                </c:pt>
                <c:pt idx="37">
                  <c:v>100.67964306992705</c:v>
                </c:pt>
                <c:pt idx="38">
                  <c:v>103.26151072975864</c:v>
                </c:pt>
                <c:pt idx="39">
                  <c:v>105.84137248920683</c:v>
                </c:pt>
                <c:pt idx="40">
                  <c:v>108.41917790784561</c:v>
                </c:pt>
                <c:pt idx="41">
                  <c:v>110.99487657078969</c:v>
                </c:pt>
                <c:pt idx="42">
                  <c:v>113.56841806070321</c:v>
                </c:pt>
                <c:pt idx="43">
                  <c:v>116.13975193258139</c:v>
                </c:pt>
                <c:pt idx="44">
                  <c:v>118.70882769083818</c:v>
                </c:pt>
                <c:pt idx="45">
                  <c:v>121.2755947683094</c:v>
                </c:pt>
                <c:pt idx="46">
                  <c:v>123.84000250684609</c:v>
                </c:pt>
                <c:pt idx="47">
                  <c:v>126.40200013922222</c:v>
                </c:pt>
                <c:pt idx="48">
                  <c:v>128.96153677212288</c:v>
                </c:pt>
                <c:pt idx="49">
                  <c:v>131.51856137001437</c:v>
                </c:pt>
                <c:pt idx="50">
                  <c:v>134.07302273972343</c:v>
                </c:pt>
                <c:pt idx="51">
                  <c:v>136.62486951557867</c:v>
                </c:pt>
                <c:pt idx="52">
                  <c:v>139.1740501449834</c:v>
                </c:pt>
                <c:pt idx="53">
                  <c:v>141.72051287430679</c:v>
                </c:pt>
                <c:pt idx="54">
                  <c:v>144.26420573499146</c:v>
                </c:pt>
                <c:pt idx="55">
                  <c:v>146.80507652978835</c:v>
                </c:pt>
                <c:pt idx="56">
                  <c:v>149.34307281903557</c:v>
                </c:pt>
                <c:pt idx="57">
                  <c:v>151.87814190690739</c:v>
                </c:pt>
                <c:pt idx="58">
                  <c:v>154.41023082756459</c:v>
                </c:pt>
                <c:pt idx="59">
                  <c:v>156.93928633114027</c:v>
                </c:pt>
                <c:pt idx="60">
                  <c:v>159.46525486950236</c:v>
                </c:pt>
                <c:pt idx="61">
                  <c:v>161.98808258173295</c:v>
                </c:pt>
                <c:pt idx="62">
                  <c:v>164.50771527926872</c:v>
                </c:pt>
                <c:pt idx="63">
                  <c:v>167.02409843064856</c:v>
                </c:pt>
                <c:pt idx="64">
                  <c:v>169.53717714581248</c:v>
                </c:pt>
                <c:pt idx="65">
                  <c:v>172.0468961598994</c:v>
                </c:pt>
                <c:pt idx="66">
                  <c:v>174.5531998164889</c:v>
                </c:pt>
                <c:pt idx="67">
                  <c:v>177.05603205023186</c:v>
                </c:pt>
                <c:pt idx="68">
                  <c:v>179.55533636881395</c:v>
                </c:pt>
                <c:pt idx="69">
                  <c:v>182.05105583419351</c:v>
                </c:pt>
                <c:pt idx="70">
                  <c:v>184.54313304305538</c:v>
                </c:pt>
                <c:pt idx="71">
                  <c:v>187.03151010641591</c:v>
                </c:pt>
                <c:pt idx="72">
                  <c:v>189.51612862831692</c:v>
                </c:pt>
                <c:pt idx="73">
                  <c:v>191.99692968353628</c:v>
                </c:pt>
                <c:pt idx="74">
                  <c:v>194.47385379424753</c:v>
                </c:pt>
                <c:pt idx="75">
                  <c:v>196.94684090554748</c:v>
                </c:pt>
                <c:pt idx="76">
                  <c:v>199.41583035977445</c:v>
                </c:pt>
                <c:pt idx="77">
                  <c:v>201.88076086952827</c:v>
                </c:pt>
                <c:pt idx="78">
                  <c:v>204.34157048930248</c:v>
                </c:pt>
                <c:pt idx="79">
                  <c:v>206.7981965856286</c:v>
                </c:pt>
                <c:pt idx="80">
                  <c:v>209.25057580562938</c:v>
                </c:pt>
                <c:pt idx="81">
                  <c:v>211.69864404386698</c:v>
                </c:pt>
                <c:pt idx="82">
                  <c:v>214.14233640736668</c:v>
                </c:pt>
                <c:pt idx="83">
                  <c:v>216.58158717868596</c:v>
                </c:pt>
                <c:pt idx="84">
                  <c:v>219.01632977688885</c:v>
                </c:pt>
                <c:pt idx="85">
                  <c:v>221.44649671627664</c:v>
                </c:pt>
                <c:pt idx="86">
                  <c:v>223.87201956271102</c:v>
                </c:pt>
                <c:pt idx="87">
                  <c:v>226.29282888735608</c:v>
                </c:pt>
                <c:pt idx="88">
                  <c:v>228.70885421764842</c:v>
                </c:pt>
                <c:pt idx="89">
                  <c:v>231.12002398529179</c:v>
                </c:pt>
                <c:pt idx="90">
                  <c:v>233.52626547105342</c:v>
                </c:pt>
              </c:numCache>
            </c:numRef>
          </c:yVal>
          <c:smooth val="0"/>
          <c:extLst>
            <c:ext xmlns:c16="http://schemas.microsoft.com/office/drawing/2014/chart" uri="{C3380CC4-5D6E-409C-BE32-E72D297353CC}">
              <c16:uniqueId val="{00000002-9E47-4F72-AAD1-D1B90A0B7BFD}"/>
            </c:ext>
          </c:extLst>
        </c:ser>
        <c:ser>
          <c:idx val="1"/>
          <c:order val="3"/>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TSData1!$AZ$5:$AZ$95</c:f>
              <c:numCache>
                <c:formatCode>General</c:formatCode>
                <c:ptCount val="91"/>
                <c:pt idx="0">
                  <c:v>0</c:v>
                </c:pt>
                <c:pt idx="1">
                  <c:v>2.3323644876044631</c:v>
                </c:pt>
                <c:pt idx="2">
                  <c:v>4.6647289752089263</c:v>
                </c:pt>
                <c:pt idx="3">
                  <c:v>6.997093462813389</c:v>
                </c:pt>
                <c:pt idx="4">
                  <c:v>9.3294579504178525</c:v>
                </c:pt>
                <c:pt idx="5">
                  <c:v>11.661822438022314</c:v>
                </c:pt>
                <c:pt idx="6">
                  <c:v>13.994186925626778</c:v>
                </c:pt>
                <c:pt idx="7">
                  <c:v>16.326551413231243</c:v>
                </c:pt>
                <c:pt idx="8">
                  <c:v>18.658915900835705</c:v>
                </c:pt>
                <c:pt idx="9">
                  <c:v>20.991280388440167</c:v>
                </c:pt>
                <c:pt idx="10">
                  <c:v>23.323644876044629</c:v>
                </c:pt>
                <c:pt idx="11">
                  <c:v>25.656009363649094</c:v>
                </c:pt>
                <c:pt idx="12">
                  <c:v>27.988373851253556</c:v>
                </c:pt>
                <c:pt idx="13">
                  <c:v>30.320738338858021</c:v>
                </c:pt>
                <c:pt idx="14">
                  <c:v>32.653102826462487</c:v>
                </c:pt>
                <c:pt idx="15">
                  <c:v>34.985467314066945</c:v>
                </c:pt>
                <c:pt idx="16">
                  <c:v>37.31783180167141</c:v>
                </c:pt>
                <c:pt idx="17">
                  <c:v>39.650196289275875</c:v>
                </c:pt>
                <c:pt idx="18">
                  <c:v>41.982560776880334</c:v>
                </c:pt>
                <c:pt idx="19">
                  <c:v>44.314925264484799</c:v>
                </c:pt>
                <c:pt idx="20">
                  <c:v>46.647289752089257</c:v>
                </c:pt>
                <c:pt idx="21">
                  <c:v>48.97965423969373</c:v>
                </c:pt>
                <c:pt idx="22">
                  <c:v>51.312018727298188</c:v>
                </c:pt>
                <c:pt idx="23">
                  <c:v>53.644383214902653</c:v>
                </c:pt>
                <c:pt idx="24">
                  <c:v>55.976747702507112</c:v>
                </c:pt>
                <c:pt idx="25">
                  <c:v>58.309112190111577</c:v>
                </c:pt>
                <c:pt idx="26">
                  <c:v>60.641476677716042</c:v>
                </c:pt>
                <c:pt idx="27">
                  <c:v>62.973841165320501</c:v>
                </c:pt>
                <c:pt idx="28">
                  <c:v>65.306205652924973</c:v>
                </c:pt>
                <c:pt idx="29">
                  <c:v>67.638570140529424</c:v>
                </c:pt>
                <c:pt idx="30">
                  <c:v>69.97093462813389</c:v>
                </c:pt>
                <c:pt idx="31">
                  <c:v>72.303299115738355</c:v>
                </c:pt>
                <c:pt idx="32">
                  <c:v>74.63566360334282</c:v>
                </c:pt>
                <c:pt idx="33">
                  <c:v>76.968028090947286</c:v>
                </c:pt>
                <c:pt idx="34">
                  <c:v>79.300392578551751</c:v>
                </c:pt>
                <c:pt idx="35">
                  <c:v>81.632757066156216</c:v>
                </c:pt>
                <c:pt idx="36">
                  <c:v>83.965121553760667</c:v>
                </c:pt>
                <c:pt idx="37">
                  <c:v>86.297486041365133</c:v>
                </c:pt>
                <c:pt idx="38">
                  <c:v>88.629850528969598</c:v>
                </c:pt>
                <c:pt idx="39">
                  <c:v>90.962215016574063</c:v>
                </c:pt>
                <c:pt idx="40">
                  <c:v>93.294579504178515</c:v>
                </c:pt>
                <c:pt idx="41">
                  <c:v>95.62694399178298</c:v>
                </c:pt>
                <c:pt idx="42">
                  <c:v>97.95930847938746</c:v>
                </c:pt>
                <c:pt idx="43">
                  <c:v>100.29167296699191</c:v>
                </c:pt>
                <c:pt idx="44">
                  <c:v>102.62403745459638</c:v>
                </c:pt>
                <c:pt idx="45">
                  <c:v>104.95640194220084</c:v>
                </c:pt>
                <c:pt idx="46">
                  <c:v>107.28876642980531</c:v>
                </c:pt>
                <c:pt idx="47">
                  <c:v>109.62113091740976</c:v>
                </c:pt>
                <c:pt idx="48">
                  <c:v>111.95349540501422</c:v>
                </c:pt>
                <c:pt idx="49">
                  <c:v>114.2858598926187</c:v>
                </c:pt>
                <c:pt idx="50">
                  <c:v>116.61822438022315</c:v>
                </c:pt>
                <c:pt idx="51">
                  <c:v>118.95058886782762</c:v>
                </c:pt>
                <c:pt idx="52">
                  <c:v>121.28295335543208</c:v>
                </c:pt>
                <c:pt idx="53">
                  <c:v>123.61531784303655</c:v>
                </c:pt>
                <c:pt idx="54">
                  <c:v>125.947682330641</c:v>
                </c:pt>
                <c:pt idx="55">
                  <c:v>128.28004681824547</c:v>
                </c:pt>
                <c:pt idx="56">
                  <c:v>130.61241130584995</c:v>
                </c:pt>
                <c:pt idx="57">
                  <c:v>132.9447757934544</c:v>
                </c:pt>
                <c:pt idx="58">
                  <c:v>135.27714028105885</c:v>
                </c:pt>
                <c:pt idx="59">
                  <c:v>137.60950476866333</c:v>
                </c:pt>
                <c:pt idx="60">
                  <c:v>139.94186925626778</c:v>
                </c:pt>
                <c:pt idx="61">
                  <c:v>142.27423374387226</c:v>
                </c:pt>
                <c:pt idx="62">
                  <c:v>144.60659823147671</c:v>
                </c:pt>
                <c:pt idx="63">
                  <c:v>146.93896271908116</c:v>
                </c:pt>
                <c:pt idx="64">
                  <c:v>149.27132720668564</c:v>
                </c:pt>
                <c:pt idx="65">
                  <c:v>151.60369169429012</c:v>
                </c:pt>
                <c:pt idx="66">
                  <c:v>153.93605618189457</c:v>
                </c:pt>
                <c:pt idx="67">
                  <c:v>156.26842066949902</c:v>
                </c:pt>
                <c:pt idx="68">
                  <c:v>158.6007851571035</c:v>
                </c:pt>
                <c:pt idx="69">
                  <c:v>160.93314964470795</c:v>
                </c:pt>
                <c:pt idx="70">
                  <c:v>163.26551413231243</c:v>
                </c:pt>
                <c:pt idx="71">
                  <c:v>165.59787861991686</c:v>
                </c:pt>
                <c:pt idx="72">
                  <c:v>167.93024310752133</c:v>
                </c:pt>
                <c:pt idx="73">
                  <c:v>170.26260759512581</c:v>
                </c:pt>
                <c:pt idx="74">
                  <c:v>172.59497208273027</c:v>
                </c:pt>
                <c:pt idx="75">
                  <c:v>174.92733657033475</c:v>
                </c:pt>
                <c:pt idx="76">
                  <c:v>177.2597010579392</c:v>
                </c:pt>
                <c:pt idx="77">
                  <c:v>179.59206554554365</c:v>
                </c:pt>
                <c:pt idx="78">
                  <c:v>181.92443003314813</c:v>
                </c:pt>
                <c:pt idx="79">
                  <c:v>184.25679452075261</c:v>
                </c:pt>
                <c:pt idx="80">
                  <c:v>186.58915900835703</c:v>
                </c:pt>
                <c:pt idx="81">
                  <c:v>188.92152349596151</c:v>
                </c:pt>
                <c:pt idx="82">
                  <c:v>191.25388798356596</c:v>
                </c:pt>
                <c:pt idx="83">
                  <c:v>193.58625247117044</c:v>
                </c:pt>
                <c:pt idx="84">
                  <c:v>195.91861695877492</c:v>
                </c:pt>
                <c:pt idx="85">
                  <c:v>198.25098144637934</c:v>
                </c:pt>
                <c:pt idx="86">
                  <c:v>200.58334593398382</c:v>
                </c:pt>
                <c:pt idx="87">
                  <c:v>202.9157104215883</c:v>
                </c:pt>
                <c:pt idx="88">
                  <c:v>205.24807490919275</c:v>
                </c:pt>
                <c:pt idx="89">
                  <c:v>207.58043939679723</c:v>
                </c:pt>
                <c:pt idx="90">
                  <c:v>209.91280388440168</c:v>
                </c:pt>
              </c:numCache>
            </c:numRef>
          </c:yVal>
          <c:smooth val="0"/>
          <c:extLst>
            <c:ext xmlns:c16="http://schemas.microsoft.com/office/drawing/2014/chart" uri="{C3380CC4-5D6E-409C-BE32-E72D297353CC}">
              <c16:uniqueId val="{00000003-9E47-4F72-AAD1-D1B90A0B7BFD}"/>
            </c:ext>
          </c:extLst>
        </c:ser>
        <c:ser>
          <c:idx val="4"/>
          <c:order val="4"/>
          <c:spPr>
            <a:ln>
              <a:solidFill>
                <a:schemeClr val="accent6">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TSData1!$BA$5:$BA$95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0"/>
          <c:extLst>
            <c:ext xmlns:c16="http://schemas.microsoft.com/office/drawing/2014/chart" uri="{C3380CC4-5D6E-409C-BE32-E72D297353CC}">
              <c16:uniqueId val="{00000004-9E47-4F72-AAD1-D1B90A0B7BFD}"/>
            </c:ext>
          </c:extLst>
        </c:ser>
        <c:ser>
          <c:idx val="5"/>
          <c:order val="5"/>
          <c:spPr>
            <a:ln>
              <a:solidFill>
                <a:schemeClr val="accent6">
                  <a:lumMod val="75000"/>
                </a:schemeClr>
              </a:solidFill>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TSData1!$BB$5:$BB$95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0"/>
          <c:extLst>
            <c:ext xmlns:c16="http://schemas.microsoft.com/office/drawing/2014/chart" uri="{C3380CC4-5D6E-409C-BE32-E72D297353CC}">
              <c16:uniqueId val="{00000005-9E47-4F72-AAD1-D1B90A0B7BFD}"/>
            </c:ext>
          </c:extLst>
        </c:ser>
        <c:dLbls>
          <c:showLegendKey val="0"/>
          <c:showVal val="0"/>
          <c:showCatName val="0"/>
          <c:showSerName val="0"/>
          <c:showPercent val="0"/>
          <c:showBubbleSize val="0"/>
        </c:dLbls>
        <c:axId val="221864720"/>
        <c:axId val="221865112"/>
      </c:scatterChart>
      <c:valAx>
        <c:axId val="221864720"/>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5112"/>
        <c:crosses val="autoZero"/>
        <c:crossBetween val="midCat"/>
      </c:valAx>
      <c:valAx>
        <c:axId val="22186511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Volts</a:t>
                </a:r>
              </a:p>
            </c:rich>
          </c:tx>
          <c:layout>
            <c:manualLayout>
              <c:xMode val="edge"/>
              <c:yMode val="edge"/>
              <c:x val="5.3333333333333621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472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44" r="0.75000000000000444"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Efficiency</a:t>
            </a:r>
            <a:r>
              <a:rPr lang="en-US" baseline="0"/>
              <a:t> Plot</a:t>
            </a:r>
            <a:endParaRPr lang="en-US"/>
          </a:p>
        </c:rich>
      </c:tx>
      <c:layout>
        <c:manualLayout>
          <c:xMode val="edge"/>
          <c:yMode val="edge"/>
          <c:x val="0.32979528991345625"/>
          <c:y val="2.1164016755402078E-2"/>
        </c:manualLayout>
      </c:layout>
      <c:overlay val="0"/>
    </c:title>
    <c:autoTitleDeleted val="0"/>
    <c:view3D>
      <c:rotX val="90"/>
      <c:rotY val="0"/>
      <c:rAngAx val="0"/>
      <c:perspective val="0"/>
    </c:view3D>
    <c:floor>
      <c:thickness val="0"/>
    </c:floor>
    <c:sideWall>
      <c:thickness val="0"/>
    </c:sideWall>
    <c:backWall>
      <c:thickness val="0"/>
    </c:backWall>
    <c:plotArea>
      <c:layout>
        <c:manualLayout>
          <c:layoutTarget val="inner"/>
          <c:xMode val="edge"/>
          <c:yMode val="edge"/>
          <c:x val="2.150537634408603E-2"/>
          <c:y val="0.21443898378557344"/>
          <c:w val="0.76673153448871756"/>
          <c:h val="0.55517527909526332"/>
        </c:manualLayout>
      </c:layout>
      <c:surfaceChart>
        <c:wireframe val="0"/>
        <c:ser>
          <c:idx val="0"/>
          <c:order val="0"/>
          <c:tx>
            <c:strRef>
              <c:f>EffMap1!$S$2</c:f>
              <c:strCache>
                <c:ptCount val="1"/>
                <c:pt idx="0">
                  <c:v>0.0</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EffMap1!$S$3:$S$62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0-A9F3-4E7C-842A-A981C0BCC6E3}"/>
            </c:ext>
          </c:extLst>
        </c:ser>
        <c:ser>
          <c:idx val="1"/>
          <c:order val="1"/>
          <c:tx>
            <c:strRef>
              <c:f>EffMap1!$T$2</c:f>
              <c:strCache>
                <c:ptCount val="1"/>
                <c:pt idx="0">
                  <c:v>0.5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EffMap1!$T$3:$T$62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1-A9F3-4E7C-842A-A981C0BCC6E3}"/>
            </c:ext>
          </c:extLst>
        </c:ser>
        <c:ser>
          <c:idx val="2"/>
          <c:order val="2"/>
          <c:tx>
            <c:strRef>
              <c:f>EffMap1!$U$2</c:f>
              <c:strCache>
                <c:ptCount val="1"/>
                <c:pt idx="0">
                  <c:v>1.2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EffMap1!$U$3:$U$62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2-A9F3-4E7C-842A-A981C0BCC6E3}"/>
            </c:ext>
          </c:extLst>
        </c:ser>
        <c:ser>
          <c:idx val="3"/>
          <c:order val="3"/>
          <c:tx>
            <c:strRef>
              <c:f>EffMap1!$V$2</c:f>
              <c:strCache>
                <c:ptCount val="1"/>
                <c:pt idx="0">
                  <c:v>1.9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EffMap1!$V$3:$V$62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3-A9F3-4E7C-842A-A981C0BCC6E3}"/>
            </c:ext>
          </c:extLst>
        </c:ser>
        <c:ser>
          <c:idx val="4"/>
          <c:order val="4"/>
          <c:tx>
            <c:strRef>
              <c:f>EffMap1!$W$2</c:f>
              <c:strCache>
                <c:ptCount val="1"/>
                <c:pt idx="0">
                  <c:v>2.6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EffMap1!$W$3:$W$62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4-A9F3-4E7C-842A-A981C0BCC6E3}"/>
            </c:ext>
          </c:extLst>
        </c:ser>
        <c:ser>
          <c:idx val="5"/>
          <c:order val="5"/>
          <c:tx>
            <c:strRef>
              <c:f>EffMap1!$X$2</c:f>
              <c:strCache>
                <c:ptCount val="1"/>
                <c:pt idx="0">
                  <c:v>3.2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EffMap1!$X$3:$X$62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5-A9F3-4E7C-842A-A981C0BCC6E3}"/>
            </c:ext>
          </c:extLst>
        </c:ser>
        <c:ser>
          <c:idx val="6"/>
          <c:order val="6"/>
          <c:tx>
            <c:strRef>
              <c:f>EffMap1!$Y$2</c:f>
              <c:strCache>
                <c:ptCount val="1"/>
                <c:pt idx="0">
                  <c:v>3.9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EffMap1!$Y$3:$Y$62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6-A9F3-4E7C-842A-A981C0BCC6E3}"/>
            </c:ext>
          </c:extLst>
        </c:ser>
        <c:ser>
          <c:idx val="7"/>
          <c:order val="7"/>
          <c:tx>
            <c:strRef>
              <c:f>EffMap1!$Z$2</c:f>
              <c:strCache>
                <c:ptCount val="1"/>
                <c:pt idx="0">
                  <c:v>4.6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EffMap1!$Z$3:$Z$62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7-A9F3-4E7C-842A-A981C0BCC6E3}"/>
            </c:ext>
          </c:extLst>
        </c:ser>
        <c:ser>
          <c:idx val="8"/>
          <c:order val="8"/>
          <c:tx>
            <c:strRef>
              <c:f>EffMap1!$AA$2</c:f>
              <c:strCache>
                <c:ptCount val="1"/>
                <c:pt idx="0">
                  <c:v>5.3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EffMap1!$AA$3:$AA$62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8-A9F3-4E7C-842A-A981C0BCC6E3}"/>
            </c:ext>
          </c:extLst>
        </c:ser>
        <c:ser>
          <c:idx val="9"/>
          <c:order val="9"/>
          <c:tx>
            <c:strRef>
              <c:f>EffMap1!$AB$2</c:f>
              <c:strCache>
                <c:ptCount val="1"/>
                <c:pt idx="0">
                  <c:v>5.9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EffMap1!$AB$3:$AB$62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9-A9F3-4E7C-842A-A981C0BCC6E3}"/>
            </c:ext>
          </c:extLst>
        </c:ser>
        <c:ser>
          <c:idx val="10"/>
          <c:order val="10"/>
          <c:tx>
            <c:strRef>
              <c:f>EffMap1!$AC$2</c:f>
              <c:strCache>
                <c:ptCount val="1"/>
                <c:pt idx="0">
                  <c:v>6.6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EffMap1!$AC$3:$AC$62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A-A9F3-4E7C-842A-A981C0BCC6E3}"/>
            </c:ext>
          </c:extLst>
        </c:ser>
        <c:ser>
          <c:idx val="11"/>
          <c:order val="11"/>
          <c:tx>
            <c:strRef>
              <c:f>EffMap1!$AD$2</c:f>
              <c:strCache>
                <c:ptCount val="1"/>
                <c:pt idx="0">
                  <c:v>7.2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EffMap1!$AD$3:$AD$62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B-A9F3-4E7C-842A-A981C0BCC6E3}"/>
            </c:ext>
          </c:extLst>
        </c:ser>
        <c:ser>
          <c:idx val="12"/>
          <c:order val="12"/>
          <c:tx>
            <c:strRef>
              <c:f>EffMap1!$AE$2</c:f>
              <c:strCache>
                <c:ptCount val="1"/>
                <c:pt idx="0">
                  <c:v>7.9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EffMap1!$AE$3:$AE$62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C-A9F3-4E7C-842A-A981C0BCC6E3}"/>
            </c:ext>
          </c:extLst>
        </c:ser>
        <c:ser>
          <c:idx val="13"/>
          <c:order val="13"/>
          <c:tx>
            <c:strRef>
              <c:f>EffMap1!$AF$2</c:f>
              <c:strCache>
                <c:ptCount val="1"/>
                <c:pt idx="0">
                  <c:v>8.5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EffMap1!$AF$3:$AF$62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D-A9F3-4E7C-842A-A981C0BCC6E3}"/>
            </c:ext>
          </c:extLst>
        </c:ser>
        <c:ser>
          <c:idx val="14"/>
          <c:order val="14"/>
          <c:tx>
            <c:strRef>
              <c:f>EffMap1!$AG$2</c:f>
              <c:strCache>
                <c:ptCount val="1"/>
                <c:pt idx="0">
                  <c:v>9.1</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EffMap1!$AG$3:$AG$62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E-A9F3-4E7C-842A-A981C0BCC6E3}"/>
            </c:ext>
          </c:extLst>
        </c:ser>
        <c:ser>
          <c:idx val="15"/>
          <c:order val="15"/>
          <c:tx>
            <c:strRef>
              <c:f>EffMap1!$AH$2</c:f>
              <c:strCache>
                <c:ptCount val="1"/>
                <c:pt idx="0">
                  <c:v>9.7</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EffMap1!$AH$3:$AH$62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F-A9F3-4E7C-842A-A981C0BCC6E3}"/>
            </c:ext>
          </c:extLst>
        </c:ser>
        <c:ser>
          <c:idx val="16"/>
          <c:order val="16"/>
          <c:tx>
            <c:strRef>
              <c:f>EffMap1!$AI$2</c:f>
              <c:strCache>
                <c:ptCount val="1"/>
                <c:pt idx="0">
                  <c:v>10.3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EffMap1!$AI$3:$AI$62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0-A9F3-4E7C-842A-A981C0BCC6E3}"/>
            </c:ext>
          </c:extLst>
        </c:ser>
        <c:ser>
          <c:idx val="17"/>
          <c:order val="17"/>
          <c:tx>
            <c:strRef>
              <c:f>EffMap1!$AJ$2</c:f>
              <c:strCache>
                <c:ptCount val="1"/>
                <c:pt idx="0">
                  <c:v>10.9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EffMap1!$AJ$3:$AJ$62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1-A9F3-4E7C-842A-A981C0BCC6E3}"/>
            </c:ext>
          </c:extLst>
        </c:ser>
        <c:ser>
          <c:idx val="18"/>
          <c:order val="18"/>
          <c:tx>
            <c:strRef>
              <c:f>EffMap1!$AK$2</c:f>
              <c:strCache>
                <c:ptCount val="1"/>
                <c:pt idx="0">
                  <c:v>11.5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EffMap1!$AK$3:$AK$62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2-A9F3-4E7C-842A-A981C0BCC6E3}"/>
            </c:ext>
          </c:extLst>
        </c:ser>
        <c:ser>
          <c:idx val="19"/>
          <c:order val="19"/>
          <c:tx>
            <c:strRef>
              <c:f>EffMap1!$AL$2</c:f>
              <c:strCache>
                <c:ptCount val="1"/>
                <c:pt idx="0">
                  <c:v>12.1</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EffMap1!$AL$3:$AL$62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3-A9F3-4E7C-842A-A981C0BCC6E3}"/>
            </c:ext>
          </c:extLst>
        </c:ser>
        <c:ser>
          <c:idx val="20"/>
          <c:order val="20"/>
          <c:tx>
            <c:strRef>
              <c:f>EffMap1!$AM$2</c:f>
              <c:strCache>
                <c:ptCount val="1"/>
                <c:pt idx="0">
                  <c:v>12.7</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EffMap1!$AM$3:$AM$62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4-A9F3-4E7C-842A-A981C0BCC6E3}"/>
            </c:ext>
          </c:extLst>
        </c:ser>
        <c:ser>
          <c:idx val="21"/>
          <c:order val="21"/>
          <c:tx>
            <c:strRef>
              <c:f>EffMap1!$AN$2</c:f>
              <c:strCache>
                <c:ptCount val="1"/>
                <c:pt idx="0">
                  <c:v>13.2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EffMap1!$AN$3:$AN$62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5-A9F3-4E7C-842A-A981C0BCC6E3}"/>
            </c:ext>
          </c:extLst>
        </c:ser>
        <c:ser>
          <c:idx val="22"/>
          <c:order val="22"/>
          <c:tx>
            <c:strRef>
              <c:f>EffMap1!$AO$2</c:f>
              <c:strCache>
                <c:ptCount val="1"/>
                <c:pt idx="0">
                  <c:v>13.8</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EffMap1!$AO$3:$AO$62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6-A9F3-4E7C-842A-A981C0BCC6E3}"/>
            </c:ext>
          </c:extLst>
        </c:ser>
        <c:ser>
          <c:idx val="23"/>
          <c:order val="23"/>
          <c:tx>
            <c:strRef>
              <c:f>EffMap1!$AP$2</c:f>
              <c:strCache>
                <c:ptCount val="1"/>
                <c:pt idx="0">
                  <c:v>14.3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EffMap1!$AP$3:$AP$62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7-A9F3-4E7C-842A-A981C0BCC6E3}"/>
            </c:ext>
          </c:extLst>
        </c:ser>
        <c:ser>
          <c:idx val="24"/>
          <c:order val="24"/>
          <c:tx>
            <c:strRef>
              <c:f>EffMap1!$AQ$2</c:f>
              <c:strCache>
                <c:ptCount val="1"/>
                <c:pt idx="0">
                  <c:v>14.8</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EffMap1!$AQ$3:$AQ$62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8-A9F3-4E7C-842A-A981C0BCC6E3}"/>
            </c:ext>
          </c:extLst>
        </c:ser>
        <c:ser>
          <c:idx val="25"/>
          <c:order val="25"/>
          <c:tx>
            <c:strRef>
              <c:f>EffMap1!$AR$2</c:f>
              <c:strCache>
                <c:ptCount val="1"/>
                <c:pt idx="0">
                  <c:v>15.4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EffMap1!$AR$3:$AR$62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9-A9F3-4E7C-842A-A981C0BCC6E3}"/>
            </c:ext>
          </c:extLst>
        </c:ser>
        <c:ser>
          <c:idx val="26"/>
          <c:order val="26"/>
          <c:tx>
            <c:strRef>
              <c:f>EffMap1!$AS$2</c:f>
              <c:strCache>
                <c:ptCount val="1"/>
                <c:pt idx="0">
                  <c:v>15.9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EffMap1!$AS$3:$AS$62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A-A9F3-4E7C-842A-A981C0BCC6E3}"/>
            </c:ext>
          </c:extLst>
        </c:ser>
        <c:ser>
          <c:idx val="27"/>
          <c:order val="27"/>
          <c:tx>
            <c:strRef>
              <c:f>EffMap1!$AT$2</c:f>
              <c:strCache>
                <c:ptCount val="1"/>
                <c:pt idx="0">
                  <c:v>16.4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EffMap1!$AT$3:$AT$62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B-A9F3-4E7C-842A-A981C0BCC6E3}"/>
            </c:ext>
          </c:extLst>
        </c:ser>
        <c:ser>
          <c:idx val="28"/>
          <c:order val="28"/>
          <c:tx>
            <c:strRef>
              <c:f>EffMap1!$AU$2</c:f>
              <c:strCache>
                <c:ptCount val="1"/>
                <c:pt idx="0">
                  <c:v>16.9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EffMap1!$AU$3:$AU$62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C-A9F3-4E7C-842A-A981C0BCC6E3}"/>
            </c:ext>
          </c:extLst>
        </c:ser>
        <c:ser>
          <c:idx val="29"/>
          <c:order val="29"/>
          <c:tx>
            <c:strRef>
              <c:f>EffMap1!$AV$2</c:f>
              <c:strCache>
                <c:ptCount val="1"/>
                <c:pt idx="0">
                  <c:v>17.4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EffMap1!$AV$3:$AV$62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D-A9F3-4E7C-842A-A981C0BCC6E3}"/>
            </c:ext>
          </c:extLst>
        </c:ser>
        <c:ser>
          <c:idx val="30"/>
          <c:order val="30"/>
          <c:tx>
            <c:strRef>
              <c:f>EffMap1!$AW$2</c:f>
              <c:strCache>
                <c:ptCount val="1"/>
                <c:pt idx="0">
                  <c:v>17.9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EffMap1!$AW$3:$AW$62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E-A9F3-4E7C-842A-A981C0BCC6E3}"/>
            </c:ext>
          </c:extLst>
        </c:ser>
        <c:bandFmts/>
        <c:axId val="223736888"/>
        <c:axId val="223737280"/>
        <c:axId val="222475296"/>
      </c:surfaceChart>
      <c:catAx>
        <c:axId val="223736888"/>
        <c:scaling>
          <c:orientation val="minMax"/>
        </c:scaling>
        <c:delete val="0"/>
        <c:axPos val="b"/>
        <c:title>
          <c:tx>
            <c:rich>
              <a:bodyPr/>
              <a:lstStyle/>
              <a:p>
                <a:pPr>
                  <a:defRPr/>
                </a:pPr>
                <a:r>
                  <a:rPr lang="en-US"/>
                  <a:t>Speed</a:t>
                </a:r>
                <a:r>
                  <a:rPr lang="en-US" baseline="0"/>
                  <a:t> RPM</a:t>
                </a:r>
                <a:endParaRPr lang="en-US"/>
              </a:p>
            </c:rich>
          </c:tx>
          <c:overlay val="0"/>
        </c:title>
        <c:numFmt formatCode="0" sourceLinked="1"/>
        <c:majorTickMark val="none"/>
        <c:minorTickMark val="none"/>
        <c:tickLblPos val="nextTo"/>
        <c:spPr>
          <a:ln w="9525">
            <a:noFill/>
          </a:ln>
        </c:spPr>
        <c:crossAx val="223737280"/>
        <c:crosses val="autoZero"/>
        <c:auto val="1"/>
        <c:lblAlgn val="ctr"/>
        <c:lblOffset val="100"/>
        <c:noMultiLvlLbl val="0"/>
      </c:catAx>
      <c:valAx>
        <c:axId val="223737280"/>
        <c:scaling>
          <c:orientation val="minMax"/>
          <c:max val="100"/>
          <c:min val="70"/>
        </c:scaling>
        <c:delete val="1"/>
        <c:axPos val="l"/>
        <c:majorGridlines/>
        <c:title>
          <c:tx>
            <c:rich>
              <a:bodyPr rot="-5400000" vert="horz"/>
              <a:lstStyle/>
              <a:p>
                <a:pPr>
                  <a:defRPr/>
                </a:pPr>
                <a:r>
                  <a:rPr lang="en-US"/>
                  <a:t>Torque</a:t>
                </a:r>
                <a:r>
                  <a:rPr lang="en-US" baseline="0"/>
                  <a:t> N*m</a:t>
                </a:r>
                <a:endParaRPr lang="en-US"/>
              </a:p>
            </c:rich>
          </c:tx>
          <c:layout>
            <c:manualLayout>
              <c:xMode val="edge"/>
              <c:yMode val="edge"/>
              <c:x val="0.82557342242890064"/>
              <c:y val="0.43673385894807754"/>
            </c:manualLayout>
          </c:layout>
          <c:overlay val="0"/>
        </c:title>
        <c:numFmt formatCode="0" sourceLinked="1"/>
        <c:majorTickMark val="none"/>
        <c:minorTickMark val="none"/>
        <c:tickLblPos val="none"/>
        <c:crossAx val="223736888"/>
        <c:crosses val="autoZero"/>
        <c:crossBetween val="midCat"/>
        <c:majorUnit val="2"/>
      </c:valAx>
      <c:serAx>
        <c:axId val="222475296"/>
        <c:scaling>
          <c:orientation val="minMax"/>
        </c:scaling>
        <c:delete val="0"/>
        <c:axPos val="b"/>
        <c:majorTickMark val="none"/>
        <c:minorTickMark val="none"/>
        <c:tickLblPos val="nextTo"/>
        <c:spPr>
          <a:ln w="9525">
            <a:noFill/>
          </a:ln>
        </c:spPr>
        <c:crossAx val="223737280"/>
        <c:crosses val="autoZero"/>
      </c:serAx>
    </c:plotArea>
    <c:legend>
      <c:legendPos val="t"/>
      <c:layout>
        <c:manualLayout>
          <c:xMode val="edge"/>
          <c:yMode val="edge"/>
          <c:x val="5.1240629660746495E-2"/>
          <c:y val="9.7817544094999778E-2"/>
          <c:w val="0.80736145574855267"/>
          <c:h val="8.7520916651894223E-2"/>
        </c:manualLayout>
      </c:layout>
      <c:overlay val="0"/>
      <c:txPr>
        <a:bodyPr/>
        <a:lstStyle/>
        <a:p>
          <a:pPr rtl="0">
            <a:defRPr/>
          </a:pPr>
          <a:endParaRPr lang="en-US"/>
        </a:p>
      </c:txPr>
    </c:legend>
    <c:plotVisOnly val="1"/>
    <c:dispBlanksAs val="zero"/>
    <c:showDLblsOverMax val="0"/>
  </c:chart>
  <c:printSettings>
    <c:headerFooter/>
    <c:pageMargins b="0.75000000000000355" l="0.70000000000000062" r="0.70000000000000062" t="0.750000000000003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7</xdr:col>
      <xdr:colOff>19050</xdr:colOff>
      <xdr:row>1</xdr:row>
      <xdr:rowOff>19050</xdr:rowOff>
    </xdr:from>
    <xdr:to>
      <xdr:col>12</xdr:col>
      <xdr:colOff>19050</xdr:colOff>
      <xdr:row>30</xdr:row>
      <xdr:rowOff>76200</xdr:rowOff>
    </xdr:to>
    <xdr:graphicFrame macro="">
      <xdr:nvGraphicFramePr>
        <xdr:cNvPr id="5633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190500</xdr:colOff>
      <xdr:row>0</xdr:row>
      <xdr:rowOff>161925</xdr:rowOff>
    </xdr:from>
    <xdr:to>
      <xdr:col>17</xdr:col>
      <xdr:colOff>523875</xdr:colOff>
      <xdr:row>30</xdr:row>
      <xdr:rowOff>28575</xdr:rowOff>
    </xdr:to>
    <xdr:graphicFrame macro="">
      <xdr:nvGraphicFramePr>
        <xdr:cNvPr id="5633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47625</xdr:colOff>
      <xdr:row>0</xdr:row>
      <xdr:rowOff>152400</xdr:rowOff>
    </xdr:from>
    <xdr:to>
      <xdr:col>24</xdr:col>
      <xdr:colOff>9525</xdr:colOff>
      <xdr:row>30</xdr:row>
      <xdr:rowOff>19050</xdr:rowOff>
    </xdr:to>
    <xdr:graphicFrame macro="">
      <xdr:nvGraphicFramePr>
        <xdr:cNvPr id="5633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190500</xdr:colOff>
      <xdr:row>1</xdr:row>
      <xdr:rowOff>19050</xdr:rowOff>
    </xdr:from>
    <xdr:to>
      <xdr:col>30</xdr:col>
      <xdr:colOff>9525</xdr:colOff>
      <xdr:row>29</xdr:row>
      <xdr:rowOff>152400</xdr:rowOff>
    </xdr:to>
    <xdr:graphicFrame macro="">
      <xdr:nvGraphicFramePr>
        <xdr:cNvPr id="5633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161925</xdr:colOff>
      <xdr:row>1</xdr:row>
      <xdr:rowOff>28574</xdr:rowOff>
    </xdr:from>
    <xdr:to>
      <xdr:col>34</xdr:col>
      <xdr:colOff>533400</xdr:colOff>
      <xdr:row>29</xdr:row>
      <xdr:rowOff>161924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123825</xdr:colOff>
      <xdr:row>1</xdr:row>
      <xdr:rowOff>47625</xdr:rowOff>
    </xdr:from>
    <xdr:to>
      <xdr:col>40</xdr:col>
      <xdr:colOff>57150</xdr:colOff>
      <xdr:row>30</xdr:row>
      <xdr:rowOff>19050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579120</xdr:colOff>
          <xdr:row>34</xdr:row>
          <xdr:rowOff>114300</xdr:rowOff>
        </xdr:from>
        <xdr:to>
          <xdr:col>8</xdr:col>
          <xdr:colOff>601980</xdr:colOff>
          <xdr:row>36</xdr:row>
          <xdr:rowOff>121920</xdr:rowOff>
        </xdr:to>
        <xdr:sp macro="" textlink="">
          <xdr:nvSpPr>
            <xdr:cNvPr id="56321" name="cmdRPM" hidden="1">
              <a:extLst>
                <a:ext uri="{63B3BB69-23CF-44E3-9099-C40C66FF867C}">
                  <a14:compatExt spid="_x0000_s56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34</xdr:row>
          <xdr:rowOff>114300</xdr:rowOff>
        </xdr:from>
        <xdr:to>
          <xdr:col>10</xdr:col>
          <xdr:colOff>76200</xdr:colOff>
          <xdr:row>36</xdr:row>
          <xdr:rowOff>114300</xdr:rowOff>
        </xdr:to>
        <xdr:sp macro="" textlink="">
          <xdr:nvSpPr>
            <xdr:cNvPr id="56322" name="cmdRPS" hidden="1">
              <a:extLst>
                <a:ext uri="{63B3BB69-23CF-44E3-9099-C40C66FF867C}">
                  <a14:compatExt spid="_x0000_s56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34</xdr:row>
          <xdr:rowOff>137160</xdr:rowOff>
        </xdr:from>
        <xdr:to>
          <xdr:col>11</xdr:col>
          <xdr:colOff>175260</xdr:colOff>
          <xdr:row>36</xdr:row>
          <xdr:rowOff>114300</xdr:rowOff>
        </xdr:to>
        <xdr:sp macro="" textlink="">
          <xdr:nvSpPr>
            <xdr:cNvPr id="56323" name="cmdRadps" hidden="1">
              <a:extLst>
                <a:ext uri="{63B3BB69-23CF-44E3-9099-C40C66FF867C}">
                  <a14:compatExt spid="_x0000_s563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259080</xdr:colOff>
          <xdr:row>32</xdr:row>
          <xdr:rowOff>68580</xdr:rowOff>
        </xdr:from>
        <xdr:to>
          <xdr:col>8</xdr:col>
          <xdr:colOff>274320</xdr:colOff>
          <xdr:row>34</xdr:row>
          <xdr:rowOff>60960</xdr:rowOff>
        </xdr:to>
        <xdr:sp macro="" textlink="">
          <xdr:nvSpPr>
            <xdr:cNvPr id="56324" name="cmdOzIn" hidden="1">
              <a:extLst>
                <a:ext uri="{63B3BB69-23CF-44E3-9099-C40C66FF867C}">
                  <a14:compatExt spid="_x0000_s56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350520</xdr:colOff>
          <xdr:row>32</xdr:row>
          <xdr:rowOff>68580</xdr:rowOff>
        </xdr:from>
        <xdr:to>
          <xdr:col>9</xdr:col>
          <xdr:colOff>373380</xdr:colOff>
          <xdr:row>34</xdr:row>
          <xdr:rowOff>60960</xdr:rowOff>
        </xdr:to>
        <xdr:sp macro="" textlink="">
          <xdr:nvSpPr>
            <xdr:cNvPr id="56325" name="cmdInLbs" hidden="1">
              <a:extLst>
                <a:ext uri="{63B3BB69-23CF-44E3-9099-C40C66FF867C}">
                  <a14:compatExt spid="_x0000_s563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563880</xdr:colOff>
          <xdr:row>32</xdr:row>
          <xdr:rowOff>68580</xdr:rowOff>
        </xdr:from>
        <xdr:to>
          <xdr:col>11</xdr:col>
          <xdr:colOff>579120</xdr:colOff>
          <xdr:row>34</xdr:row>
          <xdr:rowOff>60960</xdr:rowOff>
        </xdr:to>
        <xdr:sp macro="" textlink="">
          <xdr:nvSpPr>
            <xdr:cNvPr id="56326" name="cmdNm" hidden="1">
              <a:extLst>
                <a:ext uri="{63B3BB69-23CF-44E3-9099-C40C66FF867C}">
                  <a14:compatExt spid="_x0000_s563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32</xdr:row>
          <xdr:rowOff>68580</xdr:rowOff>
        </xdr:from>
        <xdr:to>
          <xdr:col>10</xdr:col>
          <xdr:colOff>480060</xdr:colOff>
          <xdr:row>34</xdr:row>
          <xdr:rowOff>60960</xdr:rowOff>
        </xdr:to>
        <xdr:sp macro="" textlink="">
          <xdr:nvSpPr>
            <xdr:cNvPr id="56327" name="cmdftLbs" hidden="1">
              <a:extLst>
                <a:ext uri="{63B3BB69-23CF-44E3-9099-C40C66FF867C}">
                  <a14:compatExt spid="_x0000_s56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xdr:row>
          <xdr:rowOff>83820</xdr:rowOff>
        </xdr:from>
        <xdr:to>
          <xdr:col>14</xdr:col>
          <xdr:colOff>327660</xdr:colOff>
          <xdr:row>34</xdr:row>
          <xdr:rowOff>38100</xdr:rowOff>
        </xdr:to>
        <xdr:sp macro="" textlink="">
          <xdr:nvSpPr>
            <xdr:cNvPr id="56328" name="cmdPeakofSine" hidden="1">
              <a:extLst>
                <a:ext uri="{63B3BB69-23CF-44E3-9099-C40C66FF867C}">
                  <a14:compatExt spid="_x0000_s56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411480</xdr:colOff>
          <xdr:row>32</xdr:row>
          <xdr:rowOff>76200</xdr:rowOff>
        </xdr:from>
        <xdr:to>
          <xdr:col>15</xdr:col>
          <xdr:colOff>594360</xdr:colOff>
          <xdr:row>34</xdr:row>
          <xdr:rowOff>38100</xdr:rowOff>
        </xdr:to>
        <xdr:sp macro="" textlink="">
          <xdr:nvSpPr>
            <xdr:cNvPr id="56329" name="cmdAmpsRMS" hidden="1">
              <a:extLst>
                <a:ext uri="{63B3BB69-23CF-44E3-9099-C40C66FF867C}">
                  <a14:compatExt spid="_x0000_s56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xdr:colOff>
          <xdr:row>32</xdr:row>
          <xdr:rowOff>76200</xdr:rowOff>
        </xdr:from>
        <xdr:to>
          <xdr:col>17</xdr:col>
          <xdr:colOff>160020</xdr:colOff>
          <xdr:row>34</xdr:row>
          <xdr:rowOff>38100</xdr:rowOff>
        </xdr:to>
        <xdr:sp macro="" textlink="">
          <xdr:nvSpPr>
            <xdr:cNvPr id="56330" name="cmdSixState" hidden="1">
              <a:extLst>
                <a:ext uri="{63B3BB69-23CF-44E3-9099-C40C66FF867C}">
                  <a14:compatExt spid="_x0000_s563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228600</xdr:colOff>
          <xdr:row>32</xdr:row>
          <xdr:rowOff>45720</xdr:rowOff>
        </xdr:from>
        <xdr:to>
          <xdr:col>20</xdr:col>
          <xdr:colOff>312420</xdr:colOff>
          <xdr:row>33</xdr:row>
          <xdr:rowOff>152400</xdr:rowOff>
        </xdr:to>
        <xdr:sp macro="" textlink="">
          <xdr:nvSpPr>
            <xdr:cNvPr id="56331" name="cmdWatts" hidden="1">
              <a:extLst>
                <a:ext uri="{63B3BB69-23CF-44E3-9099-C40C66FF867C}">
                  <a14:compatExt spid="_x0000_s56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464820</xdr:colOff>
          <xdr:row>32</xdr:row>
          <xdr:rowOff>45720</xdr:rowOff>
        </xdr:from>
        <xdr:to>
          <xdr:col>21</xdr:col>
          <xdr:colOff>571500</xdr:colOff>
          <xdr:row>34</xdr:row>
          <xdr:rowOff>0</xdr:rowOff>
        </xdr:to>
        <xdr:sp macro="" textlink="">
          <xdr:nvSpPr>
            <xdr:cNvPr id="56332" name="cmdKiloWatts" hidden="1">
              <a:extLst>
                <a:ext uri="{63B3BB69-23CF-44E3-9099-C40C66FF867C}">
                  <a14:compatExt spid="_x0000_s563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121920</xdr:colOff>
          <xdr:row>32</xdr:row>
          <xdr:rowOff>68580</xdr:rowOff>
        </xdr:from>
        <xdr:to>
          <xdr:col>23</xdr:col>
          <xdr:colOff>190500</xdr:colOff>
          <xdr:row>34</xdr:row>
          <xdr:rowOff>0</xdr:rowOff>
        </xdr:to>
        <xdr:sp macro="" textlink="">
          <xdr:nvSpPr>
            <xdr:cNvPr id="56333" name="cmdHP" hidden="1">
              <a:extLst>
                <a:ext uri="{63B3BB69-23CF-44E3-9099-C40C66FF867C}">
                  <a14:compatExt spid="_x0000_s56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66674</xdr:rowOff>
    </xdr:from>
    <xdr:to>
      <xdr:col>12</xdr:col>
      <xdr:colOff>304800</xdr:colOff>
      <xdr:row>31</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xdr:colOff>
          <xdr:row>17</xdr:row>
          <xdr:rowOff>152400</xdr:rowOff>
        </xdr:from>
        <xdr:to>
          <xdr:col>4</xdr:col>
          <xdr:colOff>350520</xdr:colOff>
          <xdr:row>91</xdr:row>
          <xdr:rowOff>7620</xdr:rowOff>
        </xdr:to>
        <xdr:sp macro="" textlink="">
          <xdr:nvSpPr>
            <xdr:cNvPr id="2049" name="Object 1" hidden="1">
              <a:extLst>
                <a:ext uri="{63B3BB69-23CF-44E3-9099-C40C66FF867C}">
                  <a14:compatExt spid="_x0000_s204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14.emf"/><Relationship Id="rId4" Type="http://schemas.openxmlformats.org/officeDocument/2006/relationships/oleObject" Target="../embeddings/Microsoft_Word_97_-_2003_Document.doc"/></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N64"/>
  <sheetViews>
    <sheetView showGridLines="0" tabSelected="1" workbookViewId="0"/>
  </sheetViews>
  <sheetFormatPr defaultRowHeight="13.2" x14ac:dyDescent="0.25"/>
  <cols>
    <col min="1" max="1" width="4.5546875" customWidth="1"/>
    <col min="2" max="2" width="28.88671875" customWidth="1"/>
    <col min="3" max="3" width="8" customWidth="1"/>
    <col min="4" max="4" width="8.6640625" customWidth="1"/>
    <col min="5" max="5" width="14.88671875" customWidth="1"/>
    <col min="6" max="6" width="14" customWidth="1"/>
    <col min="7" max="7" width="1.5546875" customWidth="1"/>
    <col min="12" max="12" width="11.33203125" customWidth="1"/>
    <col min="13" max="13" width="3.44140625" customWidth="1"/>
    <col min="18" max="18" width="8.109375" customWidth="1"/>
    <col min="19" max="19" width="3.33203125" customWidth="1"/>
    <col min="20" max="24" width="8.6640625" customWidth="1"/>
    <col min="25" max="25" width="3.109375" customWidth="1"/>
    <col min="29" max="29" width="7.6640625" customWidth="1"/>
    <col min="30" max="30" width="7.33203125" customWidth="1"/>
    <col min="31" max="31" width="5" customWidth="1"/>
    <col min="35" max="35" width="6.88671875" customWidth="1"/>
    <col min="36" max="36" width="4.33203125" customWidth="1"/>
    <col min="37" max="37" width="7.6640625" customWidth="1"/>
  </cols>
  <sheetData>
    <row r="1" spans="2:12" ht="13.8" thickBot="1" x14ac:dyDescent="0.3"/>
    <row r="2" spans="2:12" ht="16.2" thickBot="1" x14ac:dyDescent="0.35">
      <c r="B2" s="182" t="s">
        <v>150</v>
      </c>
      <c r="C2" s="183"/>
      <c r="D2" s="183"/>
      <c r="E2" s="183"/>
      <c r="F2" s="184"/>
    </row>
    <row r="3" spans="2:12" x14ac:dyDescent="0.25">
      <c r="B3" s="61" t="s">
        <v>149</v>
      </c>
      <c r="C3" s="185" t="str">
        <f>MotorData1!B5</f>
        <v>GVK142-025L6</v>
      </c>
      <c r="D3" s="186"/>
      <c r="E3" s="186"/>
      <c r="F3" s="187"/>
    </row>
    <row r="4" spans="2:12" x14ac:dyDescent="0.25">
      <c r="B4" s="60" t="s">
        <v>148</v>
      </c>
      <c r="C4" s="188" t="str">
        <f>DriveData1!B5</f>
        <v>GenericAmp</v>
      </c>
      <c r="D4" s="189"/>
      <c r="E4" s="189"/>
      <c r="F4" s="190"/>
    </row>
    <row r="5" spans="2:12" ht="13.8" thickBot="1" x14ac:dyDescent="0.3">
      <c r="B5" s="59" t="s">
        <v>147</v>
      </c>
      <c r="C5" s="179" t="str">
        <f>MotorData1!B27</f>
        <v>External Water Cooling</v>
      </c>
      <c r="D5" s="180"/>
      <c r="E5" s="180"/>
      <c r="F5" s="181"/>
    </row>
    <row r="6" spans="2:12" ht="16.2" thickBot="1" x14ac:dyDescent="0.35">
      <c r="B6" s="58" t="s">
        <v>146</v>
      </c>
      <c r="C6" s="58" t="s">
        <v>145</v>
      </c>
      <c r="D6" s="58" t="s">
        <v>144</v>
      </c>
      <c r="E6" s="58" t="s">
        <v>143</v>
      </c>
      <c r="F6" s="58" t="s">
        <v>142</v>
      </c>
      <c r="J6" s="56" t="s">
        <v>141</v>
      </c>
      <c r="K6" s="56"/>
      <c r="L6" s="56"/>
    </row>
    <row r="7" spans="2:12" x14ac:dyDescent="0.25">
      <c r="B7" s="30" t="s">
        <v>140</v>
      </c>
      <c r="C7" s="57" t="s">
        <v>117</v>
      </c>
      <c r="D7" s="28" t="s">
        <v>139</v>
      </c>
      <c r="E7" s="28" t="s">
        <v>64</v>
      </c>
      <c r="F7" s="160">
        <f>MotorData1!B31/141.6</f>
        <v>8.6793785310734464</v>
      </c>
      <c r="H7" s="55"/>
      <c r="J7" s="54" t="s">
        <v>289</v>
      </c>
      <c r="K7" s="56"/>
      <c r="L7" s="56"/>
    </row>
    <row r="8" spans="2:12" x14ac:dyDescent="0.25">
      <c r="B8" s="5" t="s">
        <v>140</v>
      </c>
      <c r="C8" s="39" t="s">
        <v>117</v>
      </c>
      <c r="D8" s="26" t="s">
        <v>139</v>
      </c>
      <c r="E8" s="26" t="s">
        <v>125</v>
      </c>
      <c r="F8" s="161">
        <f>MotorData1!B31/16</f>
        <v>76.8125</v>
      </c>
      <c r="J8" s="56"/>
      <c r="K8" s="56"/>
      <c r="L8" s="56"/>
    </row>
    <row r="9" spans="2:12" x14ac:dyDescent="0.25">
      <c r="B9" s="5" t="s">
        <v>140</v>
      </c>
      <c r="C9" s="39" t="s">
        <v>117</v>
      </c>
      <c r="D9" s="26" t="s">
        <v>139</v>
      </c>
      <c r="E9" s="26" t="s">
        <v>122</v>
      </c>
      <c r="F9" s="161" t="str">
        <f>MotorData1!B31</f>
        <v>1229</v>
      </c>
    </row>
    <row r="10" spans="2:12" x14ac:dyDescent="0.25">
      <c r="B10" s="5" t="s">
        <v>137</v>
      </c>
      <c r="C10" s="39" t="s">
        <v>117</v>
      </c>
      <c r="D10" s="26" t="s">
        <v>138</v>
      </c>
      <c r="E10" s="26" t="s">
        <v>115</v>
      </c>
      <c r="F10" s="161">
        <f>MotorData1!B33*SQRT(2/3)</f>
        <v>56.240284494301768</v>
      </c>
      <c r="H10" s="55"/>
    </row>
    <row r="11" spans="2:12" x14ac:dyDescent="0.25">
      <c r="B11" s="5" t="s">
        <v>137</v>
      </c>
      <c r="C11" s="39" t="s">
        <v>117</v>
      </c>
      <c r="D11" s="26" t="s">
        <v>136</v>
      </c>
      <c r="E11" s="26" t="s">
        <v>130</v>
      </c>
      <c r="F11" s="161" t="str">
        <f>MotorData1!B33</f>
        <v>68.88</v>
      </c>
    </row>
    <row r="12" spans="2:12" x14ac:dyDescent="0.25">
      <c r="B12" s="5" t="s">
        <v>135</v>
      </c>
      <c r="C12" s="39"/>
      <c r="D12" s="26" t="s">
        <v>134</v>
      </c>
      <c r="E12" s="26" t="s">
        <v>64</v>
      </c>
      <c r="F12" s="162">
        <f>MotorData1!B32/141.6</f>
        <v>24.201977401129945</v>
      </c>
    </row>
    <row r="13" spans="2:12" x14ac:dyDescent="0.25">
      <c r="B13" s="5" t="s">
        <v>135</v>
      </c>
      <c r="C13" s="39"/>
      <c r="D13" s="26" t="s">
        <v>134</v>
      </c>
      <c r="E13" s="26" t="s">
        <v>125</v>
      </c>
      <c r="F13" s="161">
        <f>MotorData1!B32/16</f>
        <v>214.1875</v>
      </c>
    </row>
    <row r="14" spans="2:12" x14ac:dyDescent="0.25">
      <c r="B14" s="5" t="s">
        <v>135</v>
      </c>
      <c r="C14" s="39"/>
      <c r="D14" s="26" t="s">
        <v>134</v>
      </c>
      <c r="E14" s="26" t="s">
        <v>122</v>
      </c>
      <c r="F14" s="161" t="str">
        <f>MotorData1!B32</f>
        <v>3427</v>
      </c>
    </row>
    <row r="15" spans="2:12" x14ac:dyDescent="0.25">
      <c r="B15" s="5" t="s">
        <v>132</v>
      </c>
      <c r="C15" s="39"/>
      <c r="D15" s="26" t="s">
        <v>133</v>
      </c>
      <c r="E15" s="26" t="s">
        <v>115</v>
      </c>
      <c r="F15" s="161">
        <f>MotorData1!B34*SQRT(2/3)</f>
        <v>281.20142247150881</v>
      </c>
    </row>
    <row r="16" spans="2:12" x14ac:dyDescent="0.25">
      <c r="B16" s="5" t="s">
        <v>132</v>
      </c>
      <c r="C16" s="39"/>
      <c r="D16" s="26" t="s">
        <v>131</v>
      </c>
      <c r="E16" s="26" t="s">
        <v>130</v>
      </c>
      <c r="F16" s="161" t="str">
        <f>MotorData1!B34</f>
        <v>344.4</v>
      </c>
    </row>
    <row r="17" spans="2:24" x14ac:dyDescent="0.25">
      <c r="B17" s="5" t="s">
        <v>129</v>
      </c>
      <c r="C17" s="39" t="s">
        <v>128</v>
      </c>
      <c r="D17" s="26" t="s">
        <v>127</v>
      </c>
      <c r="E17" s="26" t="s">
        <v>126</v>
      </c>
      <c r="F17" s="163" t="str">
        <f>MotorData1!B35</f>
        <v>15824</v>
      </c>
    </row>
    <row r="18" spans="2:24" x14ac:dyDescent="0.25">
      <c r="B18" s="5" t="s">
        <v>124</v>
      </c>
      <c r="C18" s="39" t="s">
        <v>117</v>
      </c>
      <c r="D18" s="26" t="s">
        <v>123</v>
      </c>
      <c r="E18" s="26" t="s">
        <v>64</v>
      </c>
      <c r="F18" s="162">
        <f>MotorData1!B36/141.6</f>
        <v>7.2740112994350286</v>
      </c>
    </row>
    <row r="19" spans="2:24" x14ac:dyDescent="0.25">
      <c r="B19" s="5" t="s">
        <v>124</v>
      </c>
      <c r="C19" s="39" t="s">
        <v>117</v>
      </c>
      <c r="D19" s="26" t="s">
        <v>123</v>
      </c>
      <c r="E19" s="26" t="s">
        <v>125</v>
      </c>
      <c r="F19" s="161">
        <f>MotorData1!B36/16</f>
        <v>64.375</v>
      </c>
    </row>
    <row r="20" spans="2:24" x14ac:dyDescent="0.25">
      <c r="B20" s="5" t="s">
        <v>124</v>
      </c>
      <c r="C20" s="39" t="s">
        <v>117</v>
      </c>
      <c r="D20" s="26" t="s">
        <v>123</v>
      </c>
      <c r="E20" s="26" t="s">
        <v>122</v>
      </c>
      <c r="F20" s="161" t="str">
        <f>MotorData1!B36</f>
        <v>1030</v>
      </c>
    </row>
    <row r="21" spans="2:24" x14ac:dyDescent="0.25">
      <c r="B21" s="5" t="s">
        <v>121</v>
      </c>
      <c r="C21" s="39" t="s">
        <v>117</v>
      </c>
      <c r="D21" s="26" t="s">
        <v>120</v>
      </c>
      <c r="E21" s="26" t="s">
        <v>119</v>
      </c>
      <c r="F21" s="161">
        <f>MotorData1!B37/1000</f>
        <v>12.048999999999999</v>
      </c>
    </row>
    <row r="22" spans="2:24" x14ac:dyDescent="0.25">
      <c r="B22" s="5" t="s">
        <v>118</v>
      </c>
      <c r="C22" s="39" t="s">
        <v>117</v>
      </c>
      <c r="D22" s="26" t="s">
        <v>116</v>
      </c>
      <c r="E22" s="26" t="s">
        <v>115</v>
      </c>
      <c r="F22" s="161">
        <f>MotorData1!B38/SQRT(2)</f>
        <v>48.203469273486945</v>
      </c>
    </row>
    <row r="23" spans="2:24" x14ac:dyDescent="0.25">
      <c r="B23" s="5" t="s">
        <v>112</v>
      </c>
      <c r="C23" s="39" t="s">
        <v>103</v>
      </c>
      <c r="D23" s="26" t="s">
        <v>114</v>
      </c>
      <c r="E23" s="26" t="s">
        <v>113</v>
      </c>
      <c r="F23" s="164" t="str">
        <f>MotorData1!B7</f>
        <v>0.1267</v>
      </c>
    </row>
    <row r="24" spans="2:24" x14ac:dyDescent="0.25">
      <c r="B24" s="5" t="s">
        <v>112</v>
      </c>
      <c r="C24" s="39" t="s">
        <v>103</v>
      </c>
      <c r="D24" s="26" t="s">
        <v>111</v>
      </c>
      <c r="E24" s="26" t="s">
        <v>110</v>
      </c>
      <c r="F24" s="162">
        <f>2*3.1415927*1000*F23/60/SQRT(2)</f>
        <v>9.3818879430080937</v>
      </c>
    </row>
    <row r="25" spans="2:24" x14ac:dyDescent="0.25">
      <c r="B25" s="5" t="s">
        <v>107</v>
      </c>
      <c r="C25" s="39" t="s">
        <v>103</v>
      </c>
      <c r="D25" s="26" t="s">
        <v>109</v>
      </c>
      <c r="E25" s="26" t="s">
        <v>108</v>
      </c>
      <c r="F25" s="165">
        <f>F23*SQRT(3/2)</f>
        <v>0.15517517520531432</v>
      </c>
    </row>
    <row r="26" spans="2:24" x14ac:dyDescent="0.25">
      <c r="B26" s="5" t="s">
        <v>107</v>
      </c>
      <c r="C26" s="39" t="s">
        <v>103</v>
      </c>
      <c r="D26" s="26" t="s">
        <v>106</v>
      </c>
      <c r="E26" s="26" t="s">
        <v>105</v>
      </c>
      <c r="F26" s="162">
        <f>MotorData1!B7*141.6</f>
        <v>17.940719999999999</v>
      </c>
    </row>
    <row r="27" spans="2:24" x14ac:dyDescent="0.25">
      <c r="B27" s="5" t="s">
        <v>104</v>
      </c>
      <c r="C27" s="39" t="s">
        <v>103</v>
      </c>
      <c r="D27" s="26" t="s">
        <v>102</v>
      </c>
      <c r="E27" s="26" t="s">
        <v>101</v>
      </c>
      <c r="F27" s="164" t="str">
        <f>MotorData1!B8</f>
        <v>0.04635</v>
      </c>
    </row>
    <row r="28" spans="2:24" x14ac:dyDescent="0.25">
      <c r="B28" s="5" t="s">
        <v>100</v>
      </c>
      <c r="C28" s="39" t="s">
        <v>99</v>
      </c>
      <c r="D28" s="26" t="s">
        <v>98</v>
      </c>
      <c r="E28" s="26" t="s">
        <v>97</v>
      </c>
      <c r="F28" s="165">
        <f>(MotorData1!B9+MotorData1!B10)*500</f>
        <v>0.15050000000000002</v>
      </c>
    </row>
    <row r="29" spans="2:24" x14ac:dyDescent="0.25">
      <c r="B29" s="5" t="s">
        <v>96</v>
      </c>
      <c r="C29" s="39">
        <v>6</v>
      </c>
      <c r="D29" s="26" t="s">
        <v>95</v>
      </c>
      <c r="E29" s="26" t="s">
        <v>94</v>
      </c>
      <c r="F29" s="33" t="str">
        <f>MotorData1!B12</f>
        <v>750.0</v>
      </c>
    </row>
    <row r="30" spans="2:24" x14ac:dyDescent="0.25">
      <c r="B30" s="5" t="s">
        <v>93</v>
      </c>
      <c r="C30" s="39">
        <v>6</v>
      </c>
      <c r="D30" s="26" t="s">
        <v>92</v>
      </c>
      <c r="E30" s="26" t="s">
        <v>91</v>
      </c>
      <c r="F30" s="163">
        <f>F29/SQRT(2)</f>
        <v>530.33008588991061</v>
      </c>
    </row>
    <row r="31" spans="2:24" ht="13.8" thickBot="1" x14ac:dyDescent="0.3">
      <c r="B31" s="5" t="s">
        <v>90</v>
      </c>
      <c r="C31" s="39" t="s">
        <v>40</v>
      </c>
      <c r="D31" s="26" t="s">
        <v>89</v>
      </c>
      <c r="E31" s="26" t="s">
        <v>86</v>
      </c>
      <c r="F31" s="164" t="str">
        <f>MotorData1!B13</f>
        <v>0.3132</v>
      </c>
    </row>
    <row r="32" spans="2:24" x14ac:dyDescent="0.25">
      <c r="B32" s="2" t="s">
        <v>88</v>
      </c>
      <c r="C32" s="39" t="s">
        <v>40</v>
      </c>
      <c r="D32" s="54" t="s">
        <v>87</v>
      </c>
      <c r="E32" s="26" t="s">
        <v>86</v>
      </c>
      <c r="F32" s="166" t="str">
        <f>MotorData1!B14</f>
        <v>0.2346</v>
      </c>
      <c r="H32" s="53" t="s">
        <v>85</v>
      </c>
      <c r="I32" s="52"/>
      <c r="J32" s="52"/>
      <c r="K32" s="52"/>
      <c r="L32" s="51"/>
      <c r="N32" s="53" t="s">
        <v>84</v>
      </c>
      <c r="O32" s="52"/>
      <c r="P32" s="52"/>
      <c r="Q32" s="52"/>
      <c r="R32" s="51"/>
      <c r="T32" s="53" t="s">
        <v>83</v>
      </c>
      <c r="U32" s="52"/>
      <c r="V32" s="52"/>
      <c r="W32" s="52"/>
      <c r="X32" s="51"/>
    </row>
    <row r="33" spans="2:40" x14ac:dyDescent="0.25">
      <c r="B33" s="5" t="s">
        <v>82</v>
      </c>
      <c r="C33" s="39"/>
      <c r="D33" s="26" t="s">
        <v>81</v>
      </c>
      <c r="E33" s="26" t="s">
        <v>76</v>
      </c>
      <c r="F33" s="163" t="str">
        <f>MotorData1!B19</f>
        <v>40.00</v>
      </c>
      <c r="H33" s="49"/>
      <c r="I33" s="48"/>
      <c r="J33" s="48"/>
      <c r="K33" s="48"/>
      <c r="L33" s="47"/>
      <c r="N33" s="49"/>
      <c r="O33" s="48"/>
      <c r="P33" s="48"/>
      <c r="Q33" s="48"/>
      <c r="R33" s="47"/>
      <c r="T33" s="49"/>
      <c r="U33" s="48"/>
      <c r="V33" s="48"/>
      <c r="W33" s="48"/>
      <c r="X33" s="47"/>
    </row>
    <row r="34" spans="2:40" x14ac:dyDescent="0.25">
      <c r="B34" s="5" t="s">
        <v>80</v>
      </c>
      <c r="C34" s="39"/>
      <c r="D34" s="26" t="s">
        <v>79</v>
      </c>
      <c r="E34" s="26" t="s">
        <v>76</v>
      </c>
      <c r="F34" s="163" t="str">
        <f>MotorData1!B17</f>
        <v>180.0</v>
      </c>
      <c r="H34" s="49"/>
      <c r="I34" s="48"/>
      <c r="J34" s="48"/>
      <c r="K34" s="48"/>
      <c r="L34" s="47"/>
      <c r="N34" s="49"/>
      <c r="O34" s="48"/>
      <c r="P34" s="48"/>
      <c r="Q34" s="48"/>
      <c r="R34" s="47"/>
      <c r="T34" s="49"/>
      <c r="U34" s="48"/>
      <c r="V34" s="48"/>
      <c r="W34" s="48"/>
      <c r="X34" s="47"/>
    </row>
    <row r="35" spans="2:40" ht="12.75" customHeight="1" x14ac:dyDescent="0.25">
      <c r="B35" s="5" t="s">
        <v>78</v>
      </c>
      <c r="C35" s="39">
        <v>7</v>
      </c>
      <c r="D35" s="26" t="s">
        <v>77</v>
      </c>
      <c r="E35" s="26" t="s">
        <v>76</v>
      </c>
      <c r="F35" s="163" t="str">
        <f>MotorData1!B39</f>
        <v>140.0</v>
      </c>
      <c r="H35" s="49"/>
      <c r="I35" s="48"/>
      <c r="J35" s="48"/>
      <c r="K35" s="48"/>
      <c r="L35" s="47"/>
      <c r="N35" s="49"/>
      <c r="O35" s="48"/>
      <c r="P35" s="48"/>
      <c r="Q35" s="48"/>
      <c r="R35" s="47"/>
      <c r="T35" s="49"/>
      <c r="U35" s="48"/>
      <c r="V35" s="48"/>
      <c r="W35" s="48"/>
      <c r="X35" s="47"/>
    </row>
    <row r="36" spans="2:40" ht="12.75" customHeight="1" x14ac:dyDescent="0.25">
      <c r="B36" s="5" t="s">
        <v>75</v>
      </c>
      <c r="C36" s="39" t="s">
        <v>66</v>
      </c>
      <c r="D36" s="50" t="s">
        <v>74</v>
      </c>
      <c r="E36" s="26" t="s">
        <v>71</v>
      </c>
      <c r="F36" s="161">
        <f>MotorData1!B25/60</f>
        <v>6.67</v>
      </c>
      <c r="H36" s="49"/>
      <c r="I36" s="48"/>
      <c r="J36" s="48"/>
      <c r="K36" s="48"/>
      <c r="L36" s="47"/>
      <c r="N36" s="49"/>
      <c r="O36" s="48"/>
      <c r="P36" s="48"/>
      <c r="Q36" s="48"/>
      <c r="R36" s="47"/>
      <c r="T36" s="49"/>
      <c r="U36" s="48"/>
      <c r="V36" s="48"/>
      <c r="W36" s="48"/>
      <c r="X36" s="47"/>
    </row>
    <row r="37" spans="2:40" ht="15" x14ac:dyDescent="0.25">
      <c r="B37" s="5" t="s">
        <v>73</v>
      </c>
      <c r="C37" s="39" t="s">
        <v>66</v>
      </c>
      <c r="D37" s="50" t="s">
        <v>72</v>
      </c>
      <c r="E37" s="26" t="s">
        <v>71</v>
      </c>
      <c r="F37" s="161">
        <f>MotorData1!B26/60</f>
        <v>1.6700000000000002</v>
      </c>
      <c r="H37" s="49"/>
      <c r="I37" s="48"/>
      <c r="J37" s="48"/>
      <c r="K37" s="48"/>
      <c r="L37" s="47"/>
      <c r="N37" s="49"/>
      <c r="O37" s="48"/>
      <c r="P37" s="48"/>
      <c r="Q37" s="48"/>
      <c r="R37" s="47"/>
      <c r="T37" s="49"/>
      <c r="U37" s="48"/>
      <c r="V37" s="48"/>
      <c r="W37" s="48"/>
      <c r="X37" s="47"/>
    </row>
    <row r="38" spans="2:40" ht="13.8" thickBot="1" x14ac:dyDescent="0.3">
      <c r="B38" s="5" t="s">
        <v>70</v>
      </c>
      <c r="C38" s="39" t="s">
        <v>66</v>
      </c>
      <c r="D38" s="26" t="s">
        <v>69</v>
      </c>
      <c r="E38" s="26" t="s">
        <v>68</v>
      </c>
      <c r="F38" s="164">
        <f>MotorData1!B15/141.6</f>
        <v>1.1348870056497175E-2</v>
      </c>
      <c r="H38" s="46"/>
      <c r="I38" s="45"/>
      <c r="J38" s="45"/>
      <c r="K38" s="45"/>
      <c r="L38" s="44"/>
      <c r="N38" s="46"/>
      <c r="O38" s="45"/>
      <c r="P38" s="45"/>
      <c r="Q38" s="45"/>
      <c r="R38" s="44"/>
      <c r="T38" s="46"/>
      <c r="U38" s="45"/>
      <c r="V38" s="45"/>
      <c r="W38" s="45"/>
      <c r="X38" s="44"/>
    </row>
    <row r="39" spans="2:40" x14ac:dyDescent="0.25">
      <c r="B39" s="5" t="s">
        <v>67</v>
      </c>
      <c r="C39" s="39" t="s">
        <v>66</v>
      </c>
      <c r="D39" s="26" t="s">
        <v>65</v>
      </c>
      <c r="E39" s="26" t="s">
        <v>64</v>
      </c>
      <c r="F39" s="164">
        <f>MotorData1!B16/141.6</f>
        <v>2.4350282485875709E-2</v>
      </c>
      <c r="H39" s="43" t="s">
        <v>63</v>
      </c>
      <c r="I39" s="43"/>
      <c r="J39" s="43"/>
      <c r="K39" s="43"/>
      <c r="L39" s="43"/>
      <c r="N39" s="43" t="s">
        <v>62</v>
      </c>
      <c r="O39" s="43"/>
      <c r="P39" s="43"/>
      <c r="Q39" s="43"/>
      <c r="R39" s="43"/>
      <c r="T39" s="43" t="s">
        <v>61</v>
      </c>
      <c r="U39" s="43"/>
      <c r="V39" s="43"/>
      <c r="W39" s="43"/>
      <c r="X39" s="43"/>
      <c r="Z39" s="43" t="s">
        <v>60</v>
      </c>
      <c r="AA39" s="43"/>
      <c r="AB39" s="43"/>
      <c r="AC39" s="43"/>
      <c r="AD39" s="43"/>
      <c r="AF39" s="43" t="s">
        <v>310</v>
      </c>
      <c r="AG39" s="43"/>
      <c r="AH39" s="43"/>
      <c r="AI39" s="43"/>
      <c r="AJ39" s="55"/>
      <c r="AK39" s="43" t="s">
        <v>312</v>
      </c>
      <c r="AL39" s="43"/>
      <c r="AM39" s="43"/>
      <c r="AN39" s="43"/>
    </row>
    <row r="40" spans="2:40" ht="12.75" customHeight="1" x14ac:dyDescent="0.25">
      <c r="B40" s="5" t="s">
        <v>54</v>
      </c>
      <c r="C40" s="39" t="s">
        <v>40</v>
      </c>
      <c r="D40" s="26" t="s">
        <v>53</v>
      </c>
      <c r="E40" s="26" t="s">
        <v>59</v>
      </c>
      <c r="F40" s="167">
        <f>MotorData1!B11*0.00706154</f>
        <v>1.0903017760000001E-3</v>
      </c>
      <c r="H40" s="43" t="s">
        <v>58</v>
      </c>
      <c r="I40" s="43"/>
      <c r="J40" s="43"/>
      <c r="K40" s="43"/>
      <c r="L40" s="43"/>
      <c r="N40" s="43" t="s">
        <v>57</v>
      </c>
      <c r="O40" s="43"/>
      <c r="P40" s="43"/>
      <c r="Q40" s="43"/>
      <c r="R40" s="43"/>
      <c r="T40" s="43" t="s">
        <v>56</v>
      </c>
      <c r="U40" s="43"/>
      <c r="V40" s="43"/>
      <c r="W40" s="43"/>
      <c r="X40" s="43"/>
      <c r="Z40" s="43" t="s">
        <v>55</v>
      </c>
      <c r="AA40" s="43"/>
      <c r="AB40" s="43"/>
      <c r="AC40" s="43"/>
      <c r="AD40" s="43"/>
      <c r="AF40" s="43" t="s">
        <v>311</v>
      </c>
      <c r="AG40" s="43"/>
      <c r="AH40" s="43"/>
      <c r="AI40" s="43"/>
      <c r="AJ40" s="55"/>
      <c r="AK40" s="43" t="s">
        <v>313</v>
      </c>
      <c r="AL40" s="43"/>
      <c r="AM40" s="43"/>
      <c r="AN40" s="43"/>
    </row>
    <row r="41" spans="2:40" x14ac:dyDescent="0.25">
      <c r="B41" s="5" t="s">
        <v>54</v>
      </c>
      <c r="C41" s="39" t="s">
        <v>40</v>
      </c>
      <c r="D41" s="26" t="s">
        <v>53</v>
      </c>
      <c r="E41" s="26" t="s">
        <v>52</v>
      </c>
      <c r="F41" s="167">
        <f>MotorData1!B11*0.0624998</f>
        <v>9.6499691200000008E-3</v>
      </c>
      <c r="H41" s="173" t="str">
        <f xml:space="preserve"> "Lt Blue Dotted is battery cont current limit ("&amp;TSData1!BF2&amp;"Amps)"</f>
        <v>Lt Blue Dotted is battery cont current limit (-10Amps)</v>
      </c>
      <c r="I41" s="173"/>
      <c r="J41" s="173"/>
      <c r="K41" s="173"/>
      <c r="L41" s="173"/>
      <c r="T41" s="42" t="s">
        <v>51</v>
      </c>
      <c r="U41" s="42"/>
      <c r="V41" s="42"/>
      <c r="W41" s="42"/>
      <c r="X41" s="42"/>
      <c r="Z41" t="s">
        <v>50</v>
      </c>
      <c r="AK41" s="158" t="s">
        <v>314</v>
      </c>
      <c r="AL41" s="158"/>
      <c r="AM41" s="158"/>
      <c r="AN41" s="158"/>
    </row>
    <row r="42" spans="2:40" x14ac:dyDescent="0.25">
      <c r="B42" s="5" t="s">
        <v>49</v>
      </c>
      <c r="C42" s="39"/>
      <c r="D42" s="26" t="s">
        <v>48</v>
      </c>
      <c r="E42" s="26" t="s">
        <v>47</v>
      </c>
      <c r="F42" s="33" t="str">
        <f>MotorData1!B21</f>
        <v>12.00</v>
      </c>
      <c r="H42" s="173" t="str">
        <f xml:space="preserve"> "Lt Blue solid is battery peak current limit ("&amp;TSData1!BF1&amp;"Amps)"</f>
        <v>Lt Blue solid is battery peak current limit (-10Amps)</v>
      </c>
      <c r="I42" s="173"/>
      <c r="J42" s="173"/>
      <c r="K42" s="173"/>
      <c r="L42" s="173"/>
      <c r="T42" s="40" t="s">
        <v>46</v>
      </c>
      <c r="U42" s="40"/>
      <c r="V42" s="40"/>
      <c r="W42" s="40"/>
      <c r="X42" s="40"/>
      <c r="Z42" t="s">
        <v>45</v>
      </c>
      <c r="AK42" s="157" t="s">
        <v>315</v>
      </c>
      <c r="AL42" s="157"/>
      <c r="AM42" s="157"/>
      <c r="AN42" s="157"/>
    </row>
    <row r="43" spans="2:40" x14ac:dyDescent="0.25">
      <c r="B43" s="5" t="s">
        <v>41</v>
      </c>
      <c r="C43" s="39" t="s">
        <v>40</v>
      </c>
      <c r="D43" s="26" t="s">
        <v>39</v>
      </c>
      <c r="E43" s="26" t="s">
        <v>44</v>
      </c>
      <c r="F43" s="161">
        <f>MotorData1!B28/2.2046</f>
        <v>2.144606731379842</v>
      </c>
      <c r="T43" s="40" t="s">
        <v>43</v>
      </c>
      <c r="U43" s="40"/>
      <c r="V43" s="40"/>
      <c r="W43" s="40"/>
      <c r="X43" s="40"/>
      <c r="Z43" t="s">
        <v>42</v>
      </c>
      <c r="AK43" s="159" t="s">
        <v>316</v>
      </c>
      <c r="AL43" s="159"/>
      <c r="AM43" s="159"/>
      <c r="AN43" s="159"/>
    </row>
    <row r="44" spans="2:40" x14ac:dyDescent="0.25">
      <c r="B44" s="5" t="s">
        <v>41</v>
      </c>
      <c r="C44" s="39" t="s">
        <v>40</v>
      </c>
      <c r="D44" s="26" t="s">
        <v>39</v>
      </c>
      <c r="E44" s="26" t="s">
        <v>38</v>
      </c>
      <c r="F44" s="161" t="str">
        <f>MotorData1!B28</f>
        <v>4.728</v>
      </c>
      <c r="H44" s="177"/>
      <c r="I44" s="177"/>
      <c r="J44" s="177"/>
      <c r="K44" s="177"/>
      <c r="L44" s="177"/>
      <c r="T44" t="s">
        <v>37</v>
      </c>
      <c r="AK44" s="159" t="s">
        <v>317</v>
      </c>
      <c r="AL44" s="159"/>
      <c r="AM44" s="159"/>
      <c r="AN44" s="159"/>
    </row>
    <row r="45" spans="2:40" x14ac:dyDescent="0.25">
      <c r="B45" s="38" t="s">
        <v>36</v>
      </c>
      <c r="C45" s="37"/>
      <c r="D45" s="36" t="s">
        <v>35</v>
      </c>
      <c r="E45" s="36" t="s">
        <v>34</v>
      </c>
      <c r="F45" s="35" t="s">
        <v>33</v>
      </c>
      <c r="H45" s="177" t="s">
        <v>350</v>
      </c>
      <c r="I45" s="177"/>
      <c r="J45" s="177">
        <v>-10</v>
      </c>
      <c r="K45" s="177" t="s">
        <v>352</v>
      </c>
      <c r="L45" s="177"/>
      <c r="T45" t="s">
        <v>32</v>
      </c>
    </row>
    <row r="46" spans="2:40" x14ac:dyDescent="0.25">
      <c r="B46" s="5" t="s">
        <v>31</v>
      </c>
      <c r="C46" s="34"/>
      <c r="D46" s="26"/>
      <c r="E46" s="26"/>
      <c r="F46" s="33" t="str">
        <f>MotorData1!B6</f>
        <v>W00000</v>
      </c>
      <c r="H46" s="177" t="s">
        <v>351</v>
      </c>
      <c r="I46" s="177"/>
      <c r="J46" s="177">
        <v>-10</v>
      </c>
      <c r="K46" s="177" t="s">
        <v>352</v>
      </c>
      <c r="L46" s="177"/>
    </row>
    <row r="47" spans="2:40" ht="13.8" thickBot="1" x14ac:dyDescent="0.3">
      <c r="B47" s="3" t="s">
        <v>30</v>
      </c>
      <c r="C47" s="32">
        <v>8</v>
      </c>
      <c r="D47" s="24" t="s">
        <v>29</v>
      </c>
      <c r="E47" s="24"/>
      <c r="F47" s="31" t="s">
        <v>28</v>
      </c>
      <c r="H47" s="177"/>
      <c r="I47" s="177"/>
      <c r="J47" s="177"/>
      <c r="K47" s="177"/>
      <c r="L47" s="177"/>
    </row>
    <row r="48" spans="2:40" x14ac:dyDescent="0.25">
      <c r="B48" s="30" t="s">
        <v>27</v>
      </c>
      <c r="C48" s="29"/>
      <c r="D48" s="28" t="s">
        <v>26</v>
      </c>
      <c r="E48" s="28"/>
      <c r="F48" s="168" t="str">
        <f>DriveData1!B6</f>
        <v>300.0</v>
      </c>
    </row>
    <row r="49" spans="2:9" x14ac:dyDescent="0.25">
      <c r="B49" s="5" t="s">
        <v>25</v>
      </c>
      <c r="C49" s="27"/>
      <c r="D49" s="26" t="s">
        <v>24</v>
      </c>
      <c r="E49" s="26"/>
      <c r="F49" s="162">
        <f>IF(DriveData1!B10=0,"",DriveData1!B10/SQRT(2))</f>
        <v>0</v>
      </c>
    </row>
    <row r="50" spans="2:9" x14ac:dyDescent="0.25">
      <c r="B50" s="5" t="s">
        <v>23</v>
      </c>
      <c r="C50" s="27"/>
      <c r="D50" s="26" t="s">
        <v>22</v>
      </c>
      <c r="E50" s="26"/>
      <c r="F50" s="162">
        <f>IF(DriveData1!B11=0,"",DriveData1!B11/SQRT(2))</f>
        <v>0</v>
      </c>
    </row>
    <row r="51" spans="2:9" ht="13.8" thickBot="1" x14ac:dyDescent="0.3">
      <c r="B51" s="3" t="s">
        <v>21</v>
      </c>
      <c r="C51" s="25"/>
      <c r="D51" s="24" t="s">
        <v>20</v>
      </c>
      <c r="E51" s="24"/>
      <c r="F51" s="31">
        <f>IF(DriveData1!B9=0,"",DriveData1!B9/1000)</f>
        <v>0</v>
      </c>
    </row>
    <row r="52" spans="2:9" x14ac:dyDescent="0.25">
      <c r="B52" s="21"/>
      <c r="C52" s="22"/>
      <c r="D52" s="21"/>
      <c r="E52" s="21"/>
      <c r="F52" s="21"/>
    </row>
    <row r="54" spans="2:9" x14ac:dyDescent="0.25">
      <c r="B54" s="14" t="s">
        <v>19</v>
      </c>
    </row>
    <row r="55" spans="2:9" ht="99.75" customHeight="1" x14ac:dyDescent="0.25">
      <c r="B55" s="178" t="str">
        <f>MotorData1!B43</f>
        <v xml:space="preserve"> Information - Magnetic Saturation model is enabled for this simulation_x000D_
 Information - A non-standard method of cooling the motor is in use for this simulation_x000D_
 Warning - Motor is water cooled and ambient temperature is below 50_x000D_
 Information - Motor Circuit model with Simply losses is Enabled_x000D_
 Information - Simulation Check Okay._x000D_
</v>
      </c>
      <c r="C55" s="178"/>
      <c r="D55" s="178"/>
      <c r="E55" s="178"/>
      <c r="F55" s="178"/>
      <c r="G55" s="13"/>
      <c r="H55" s="13"/>
      <c r="I55" s="13"/>
    </row>
    <row r="58" spans="2:9" x14ac:dyDescent="0.25">
      <c r="B58" s="20" t="s">
        <v>18</v>
      </c>
      <c r="C58" s="16"/>
      <c r="D58" s="15"/>
    </row>
    <row r="59" spans="2:9" x14ac:dyDescent="0.25">
      <c r="B59" s="19" t="str">
        <f>MotorData1!D47</f>
        <v>Kevin Holloway</v>
      </c>
      <c r="C59" s="16"/>
      <c r="D59" s="15"/>
    </row>
    <row r="60" spans="2:9" x14ac:dyDescent="0.25">
      <c r="B60" s="18" t="str">
        <f>MotorData1!D45</f>
        <v>October 24, 2016</v>
      </c>
      <c r="C60" s="16"/>
      <c r="D60" s="15"/>
    </row>
    <row r="61" spans="2:9" x14ac:dyDescent="0.25">
      <c r="B61" s="17" t="str">
        <f>MotorData1!D46</f>
        <v>17:19:21</v>
      </c>
      <c r="C61" s="16"/>
      <c r="D61" s="15"/>
    </row>
    <row r="63" spans="2:9" x14ac:dyDescent="0.25">
      <c r="B63" s="14" t="s">
        <v>17</v>
      </c>
    </row>
    <row r="64" spans="2:9" ht="95.25" customHeight="1" x14ac:dyDescent="0.25">
      <c r="B64" s="178">
        <f>MotorData1!D48</f>
        <v>0</v>
      </c>
      <c r="C64" s="178"/>
      <c r="D64" s="178"/>
      <c r="E64" s="178"/>
      <c r="F64" s="178"/>
    </row>
  </sheetData>
  <mergeCells count="6">
    <mergeCell ref="B64:F64"/>
    <mergeCell ref="B55:F55"/>
    <mergeCell ref="C5:F5"/>
    <mergeCell ref="B2:F2"/>
    <mergeCell ref="C3:F3"/>
    <mergeCell ref="C4:F4"/>
  </mergeCell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56321" r:id="rId4" name="cmdRPM">
          <controlPr defaultSize="0" autoLine="0" r:id="rId5">
            <anchor moveWithCells="1">
              <from>
                <xdr:col>7</xdr:col>
                <xdr:colOff>579120</xdr:colOff>
                <xdr:row>34</xdr:row>
                <xdr:rowOff>114300</xdr:rowOff>
              </from>
              <to>
                <xdr:col>8</xdr:col>
                <xdr:colOff>594360</xdr:colOff>
                <xdr:row>36</xdr:row>
                <xdr:rowOff>129540</xdr:rowOff>
              </to>
            </anchor>
          </controlPr>
        </control>
      </mc:Choice>
      <mc:Fallback>
        <control shapeId="56321" r:id="rId4" name="cmdRPM"/>
      </mc:Fallback>
    </mc:AlternateContent>
    <mc:AlternateContent xmlns:mc="http://schemas.openxmlformats.org/markup-compatibility/2006">
      <mc:Choice Requires="x14">
        <control shapeId="56322" r:id="rId6" name="cmdRPS">
          <controlPr defaultSize="0" autoLine="0" r:id="rId7">
            <anchor moveWithCells="1">
              <from>
                <xdr:col>9</xdr:col>
                <xdr:colOff>60960</xdr:colOff>
                <xdr:row>34</xdr:row>
                <xdr:rowOff>114300</xdr:rowOff>
              </from>
              <to>
                <xdr:col>10</xdr:col>
                <xdr:colOff>76200</xdr:colOff>
                <xdr:row>36</xdr:row>
                <xdr:rowOff>121920</xdr:rowOff>
              </to>
            </anchor>
          </controlPr>
        </control>
      </mc:Choice>
      <mc:Fallback>
        <control shapeId="56322" r:id="rId6" name="cmdRPS"/>
      </mc:Fallback>
    </mc:AlternateContent>
    <mc:AlternateContent xmlns:mc="http://schemas.openxmlformats.org/markup-compatibility/2006">
      <mc:Choice Requires="x14">
        <control shapeId="56323" r:id="rId8" name="cmdRadps">
          <controlPr defaultSize="0" autoLine="0" r:id="rId9">
            <anchor moveWithCells="1">
              <from>
                <xdr:col>10</xdr:col>
                <xdr:colOff>152400</xdr:colOff>
                <xdr:row>34</xdr:row>
                <xdr:rowOff>137160</xdr:rowOff>
              </from>
              <to>
                <xdr:col>11</xdr:col>
                <xdr:colOff>167640</xdr:colOff>
                <xdr:row>36</xdr:row>
                <xdr:rowOff>121920</xdr:rowOff>
              </to>
            </anchor>
          </controlPr>
        </control>
      </mc:Choice>
      <mc:Fallback>
        <control shapeId="56323" r:id="rId8" name="cmdRadps"/>
      </mc:Fallback>
    </mc:AlternateContent>
    <mc:AlternateContent xmlns:mc="http://schemas.openxmlformats.org/markup-compatibility/2006">
      <mc:Choice Requires="x14">
        <control shapeId="56324" r:id="rId10" name="cmdOzIn">
          <controlPr defaultSize="0" autoLine="0" r:id="rId11">
            <anchor moveWithCells="1">
              <from>
                <xdr:col>7</xdr:col>
                <xdr:colOff>259080</xdr:colOff>
                <xdr:row>32</xdr:row>
                <xdr:rowOff>68580</xdr:rowOff>
              </from>
              <to>
                <xdr:col>8</xdr:col>
                <xdr:colOff>274320</xdr:colOff>
                <xdr:row>34</xdr:row>
                <xdr:rowOff>45720</xdr:rowOff>
              </to>
            </anchor>
          </controlPr>
        </control>
      </mc:Choice>
      <mc:Fallback>
        <control shapeId="56324" r:id="rId10" name="cmdOzIn"/>
      </mc:Fallback>
    </mc:AlternateContent>
    <mc:AlternateContent xmlns:mc="http://schemas.openxmlformats.org/markup-compatibility/2006">
      <mc:Choice Requires="x14">
        <control shapeId="56325" r:id="rId12" name="cmdInLbs">
          <controlPr defaultSize="0" autoLine="0" r:id="rId13">
            <anchor moveWithCells="1">
              <from>
                <xdr:col>8</xdr:col>
                <xdr:colOff>350520</xdr:colOff>
                <xdr:row>32</xdr:row>
                <xdr:rowOff>68580</xdr:rowOff>
              </from>
              <to>
                <xdr:col>9</xdr:col>
                <xdr:colOff>365760</xdr:colOff>
                <xdr:row>34</xdr:row>
                <xdr:rowOff>45720</xdr:rowOff>
              </to>
            </anchor>
          </controlPr>
        </control>
      </mc:Choice>
      <mc:Fallback>
        <control shapeId="56325" r:id="rId12" name="cmdInLbs"/>
      </mc:Fallback>
    </mc:AlternateContent>
    <mc:AlternateContent xmlns:mc="http://schemas.openxmlformats.org/markup-compatibility/2006">
      <mc:Choice Requires="x14">
        <control shapeId="56326" r:id="rId14" name="cmdNm">
          <controlPr defaultSize="0" autoLine="0" r:id="rId15">
            <anchor moveWithCells="1">
              <from>
                <xdr:col>10</xdr:col>
                <xdr:colOff>563880</xdr:colOff>
                <xdr:row>32</xdr:row>
                <xdr:rowOff>68580</xdr:rowOff>
              </from>
              <to>
                <xdr:col>11</xdr:col>
                <xdr:colOff>579120</xdr:colOff>
                <xdr:row>34</xdr:row>
                <xdr:rowOff>45720</xdr:rowOff>
              </to>
            </anchor>
          </controlPr>
        </control>
      </mc:Choice>
      <mc:Fallback>
        <control shapeId="56326" r:id="rId14" name="cmdNm"/>
      </mc:Fallback>
    </mc:AlternateContent>
    <mc:AlternateContent xmlns:mc="http://schemas.openxmlformats.org/markup-compatibility/2006">
      <mc:Choice Requires="x14">
        <control shapeId="56327" r:id="rId16" name="cmdftLbs">
          <controlPr defaultSize="0" autoLine="0" r:id="rId17">
            <anchor moveWithCells="1">
              <from>
                <xdr:col>9</xdr:col>
                <xdr:colOff>457200</xdr:colOff>
                <xdr:row>32</xdr:row>
                <xdr:rowOff>68580</xdr:rowOff>
              </from>
              <to>
                <xdr:col>10</xdr:col>
                <xdr:colOff>472440</xdr:colOff>
                <xdr:row>34</xdr:row>
                <xdr:rowOff>45720</xdr:rowOff>
              </to>
            </anchor>
          </controlPr>
        </control>
      </mc:Choice>
      <mc:Fallback>
        <control shapeId="56327" r:id="rId16" name="cmdftLbs"/>
      </mc:Fallback>
    </mc:AlternateContent>
    <mc:AlternateContent xmlns:mc="http://schemas.openxmlformats.org/markup-compatibility/2006">
      <mc:Choice Requires="x14">
        <control shapeId="56328" r:id="rId18" name="cmdPeakofSine">
          <controlPr defaultSize="0" autoLine="0" r:id="rId19">
            <anchor moveWithCells="1">
              <from>
                <xdr:col>13</xdr:col>
                <xdr:colOff>76200</xdr:colOff>
                <xdr:row>32</xdr:row>
                <xdr:rowOff>83820</xdr:rowOff>
              </from>
              <to>
                <xdr:col>14</xdr:col>
                <xdr:colOff>320040</xdr:colOff>
                <xdr:row>34</xdr:row>
                <xdr:rowOff>22860</xdr:rowOff>
              </to>
            </anchor>
          </controlPr>
        </control>
      </mc:Choice>
      <mc:Fallback>
        <control shapeId="56328" r:id="rId18" name="cmdPeakofSine"/>
      </mc:Fallback>
    </mc:AlternateContent>
    <mc:AlternateContent xmlns:mc="http://schemas.openxmlformats.org/markup-compatibility/2006">
      <mc:Choice Requires="x14">
        <control shapeId="56329" r:id="rId20" name="cmdAmpsRMS">
          <controlPr defaultSize="0" autoLine="0" r:id="rId21">
            <anchor moveWithCells="1">
              <from>
                <xdr:col>14</xdr:col>
                <xdr:colOff>411480</xdr:colOff>
                <xdr:row>32</xdr:row>
                <xdr:rowOff>76200</xdr:rowOff>
              </from>
              <to>
                <xdr:col>15</xdr:col>
                <xdr:colOff>594360</xdr:colOff>
                <xdr:row>34</xdr:row>
                <xdr:rowOff>30480</xdr:rowOff>
              </to>
            </anchor>
          </controlPr>
        </control>
      </mc:Choice>
      <mc:Fallback>
        <control shapeId="56329" r:id="rId20" name="cmdAmpsRMS"/>
      </mc:Fallback>
    </mc:AlternateContent>
    <mc:AlternateContent xmlns:mc="http://schemas.openxmlformats.org/markup-compatibility/2006">
      <mc:Choice Requires="x14">
        <control shapeId="56330" r:id="rId22" name="cmdSixState">
          <controlPr defaultSize="0" autoLine="0" r:id="rId23">
            <anchor moveWithCells="1">
              <from>
                <xdr:col>16</xdr:col>
                <xdr:colOff>60960</xdr:colOff>
                <xdr:row>32</xdr:row>
                <xdr:rowOff>76200</xdr:rowOff>
              </from>
              <to>
                <xdr:col>17</xdr:col>
                <xdr:colOff>167640</xdr:colOff>
                <xdr:row>34</xdr:row>
                <xdr:rowOff>30480</xdr:rowOff>
              </to>
            </anchor>
          </controlPr>
        </control>
      </mc:Choice>
      <mc:Fallback>
        <control shapeId="56330" r:id="rId22" name="cmdSixState"/>
      </mc:Fallback>
    </mc:AlternateContent>
    <mc:AlternateContent xmlns:mc="http://schemas.openxmlformats.org/markup-compatibility/2006">
      <mc:Choice Requires="x14">
        <control shapeId="56331" r:id="rId24" name="cmdWatts">
          <controlPr defaultSize="0" autoLine="0" r:id="rId25">
            <anchor moveWithCells="1">
              <from>
                <xdr:col>19</xdr:col>
                <xdr:colOff>228600</xdr:colOff>
                <xdr:row>32</xdr:row>
                <xdr:rowOff>45720</xdr:rowOff>
              </from>
              <to>
                <xdr:col>20</xdr:col>
                <xdr:colOff>297180</xdr:colOff>
                <xdr:row>33</xdr:row>
                <xdr:rowOff>144780</xdr:rowOff>
              </to>
            </anchor>
          </controlPr>
        </control>
      </mc:Choice>
      <mc:Fallback>
        <control shapeId="56331" r:id="rId24" name="cmdWatts"/>
      </mc:Fallback>
    </mc:AlternateContent>
    <mc:AlternateContent xmlns:mc="http://schemas.openxmlformats.org/markup-compatibility/2006">
      <mc:Choice Requires="x14">
        <control shapeId="56332" r:id="rId26" name="cmdKiloWatts">
          <controlPr defaultSize="0" autoLine="0" r:id="rId27">
            <anchor moveWithCells="1">
              <from>
                <xdr:col>20</xdr:col>
                <xdr:colOff>464820</xdr:colOff>
                <xdr:row>32</xdr:row>
                <xdr:rowOff>45720</xdr:rowOff>
              </from>
              <to>
                <xdr:col>21</xdr:col>
                <xdr:colOff>556260</xdr:colOff>
                <xdr:row>33</xdr:row>
                <xdr:rowOff>152400</xdr:rowOff>
              </to>
            </anchor>
          </controlPr>
        </control>
      </mc:Choice>
      <mc:Fallback>
        <control shapeId="56332" r:id="rId26" name="cmdKiloWatts"/>
      </mc:Fallback>
    </mc:AlternateContent>
    <mc:AlternateContent xmlns:mc="http://schemas.openxmlformats.org/markup-compatibility/2006">
      <mc:Choice Requires="x14">
        <control shapeId="56333" r:id="rId28" name="cmdHP">
          <controlPr defaultSize="0" autoLine="0" r:id="rId29">
            <anchor moveWithCells="1">
              <from>
                <xdr:col>22</xdr:col>
                <xdr:colOff>121920</xdr:colOff>
                <xdr:row>32</xdr:row>
                <xdr:rowOff>68580</xdr:rowOff>
              </from>
              <to>
                <xdr:col>23</xdr:col>
                <xdr:colOff>175260</xdr:colOff>
                <xdr:row>33</xdr:row>
                <xdr:rowOff>160020</xdr:rowOff>
              </to>
            </anchor>
          </controlPr>
        </control>
      </mc:Choice>
      <mc:Fallback>
        <control shapeId="56333" r:id="rId28" name="cmdHP"/>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I61"/>
  <sheetViews>
    <sheetView workbookViewId="0">
      <selection activeCell="B27" sqref="B27:C27"/>
    </sheetView>
  </sheetViews>
  <sheetFormatPr defaultRowHeight="13.2" x14ac:dyDescent="0.25"/>
  <cols>
    <col min="2" max="2" width="15.6640625" customWidth="1"/>
    <col min="3" max="3" width="16.5546875" customWidth="1"/>
    <col min="4" max="4" width="59.33203125" customWidth="1"/>
    <col min="6" max="6" width="11.6640625" customWidth="1"/>
    <col min="7" max="7" width="21.5546875" customWidth="1"/>
    <col min="8" max="8" width="46.88671875" customWidth="1"/>
  </cols>
  <sheetData>
    <row r="1" spans="2:8" ht="17.399999999999999" x14ac:dyDescent="0.3">
      <c r="B1" s="79" t="s">
        <v>234</v>
      </c>
      <c r="F1" s="79" t="s">
        <v>233</v>
      </c>
    </row>
    <row r="2" spans="2:8" ht="12.75" customHeight="1" x14ac:dyDescent="0.3">
      <c r="B2" s="79"/>
    </row>
    <row r="3" spans="2:8" ht="13.8" thickBot="1" x14ac:dyDescent="0.3"/>
    <row r="4" spans="2:8" ht="13.8" thickBot="1" x14ac:dyDescent="0.3">
      <c r="B4" s="78" t="s">
        <v>142</v>
      </c>
      <c r="C4" s="78" t="s">
        <v>143</v>
      </c>
      <c r="D4" s="78" t="s">
        <v>232</v>
      </c>
      <c r="F4" s="77" t="s">
        <v>142</v>
      </c>
      <c r="G4" s="76" t="s">
        <v>231</v>
      </c>
      <c r="H4" s="75" t="s">
        <v>146</v>
      </c>
    </row>
    <row r="5" spans="2:8" ht="13.8" thickBot="1" x14ac:dyDescent="0.3">
      <c r="B5" s="70" t="s">
        <v>359</v>
      </c>
      <c r="C5" s="69"/>
      <c r="D5" s="1" t="s">
        <v>230</v>
      </c>
      <c r="F5" s="74" t="s">
        <v>229</v>
      </c>
      <c r="G5" s="73"/>
      <c r="H5" s="72"/>
    </row>
    <row r="6" spans="2:8" x14ac:dyDescent="0.25">
      <c r="B6" s="71" t="s">
        <v>320</v>
      </c>
      <c r="C6" s="54"/>
      <c r="D6" s="64" t="s">
        <v>31</v>
      </c>
      <c r="F6" s="70" t="s">
        <v>392</v>
      </c>
      <c r="G6" s="69" t="s">
        <v>183</v>
      </c>
      <c r="H6" s="1" t="s">
        <v>228</v>
      </c>
    </row>
    <row r="7" spans="2:8" x14ac:dyDescent="0.25">
      <c r="B7" s="66" t="s">
        <v>360</v>
      </c>
      <c r="C7" s="54" t="s">
        <v>227</v>
      </c>
      <c r="D7" s="64" t="s">
        <v>226</v>
      </c>
      <c r="F7" s="2" t="s">
        <v>393</v>
      </c>
      <c r="G7" s="54" t="s">
        <v>199</v>
      </c>
      <c r="H7" s="64" t="s">
        <v>225</v>
      </c>
    </row>
    <row r="8" spans="2:8" x14ac:dyDescent="0.25">
      <c r="B8" s="2" t="s">
        <v>361</v>
      </c>
      <c r="C8" s="54" t="s">
        <v>224</v>
      </c>
      <c r="D8" s="64" t="s">
        <v>223</v>
      </c>
      <c r="F8" s="2" t="s">
        <v>359</v>
      </c>
      <c r="G8" s="54" t="s">
        <v>222</v>
      </c>
      <c r="H8" s="64" t="s">
        <v>221</v>
      </c>
    </row>
    <row r="9" spans="2:8" x14ac:dyDescent="0.25">
      <c r="B9" s="2" t="s">
        <v>362</v>
      </c>
      <c r="C9" s="54" t="s">
        <v>219</v>
      </c>
      <c r="D9" s="64" t="s">
        <v>321</v>
      </c>
      <c r="F9" s="2" t="s">
        <v>394</v>
      </c>
      <c r="G9" s="54" t="s">
        <v>183</v>
      </c>
      <c r="H9" s="64" t="s">
        <v>220</v>
      </c>
    </row>
    <row r="10" spans="2:8" x14ac:dyDescent="0.25">
      <c r="B10" s="2" t="s">
        <v>363</v>
      </c>
      <c r="C10" s="54" t="s">
        <v>219</v>
      </c>
      <c r="D10" s="64" t="s">
        <v>218</v>
      </c>
      <c r="F10" s="2" t="s">
        <v>339</v>
      </c>
      <c r="G10" s="54" t="s">
        <v>183</v>
      </c>
      <c r="H10" s="64" t="s">
        <v>217</v>
      </c>
    </row>
    <row r="11" spans="2:8" x14ac:dyDescent="0.25">
      <c r="B11" s="2" t="s">
        <v>364</v>
      </c>
      <c r="C11" s="54" t="s">
        <v>177</v>
      </c>
      <c r="D11" s="64" t="s">
        <v>216</v>
      </c>
      <c r="F11" s="2" t="s">
        <v>340</v>
      </c>
      <c r="G11" s="54" t="s">
        <v>183</v>
      </c>
      <c r="H11" s="64" t="s">
        <v>215</v>
      </c>
    </row>
    <row r="12" spans="2:8" x14ac:dyDescent="0.25">
      <c r="B12" s="2" t="s">
        <v>322</v>
      </c>
      <c r="C12" s="54" t="s">
        <v>214</v>
      </c>
      <c r="D12" s="64" t="s">
        <v>213</v>
      </c>
      <c r="F12" s="2" t="s">
        <v>395</v>
      </c>
      <c r="G12" s="54" t="s">
        <v>183</v>
      </c>
      <c r="H12" s="64" t="s">
        <v>212</v>
      </c>
    </row>
    <row r="13" spans="2:8" x14ac:dyDescent="0.25">
      <c r="B13" s="2" t="s">
        <v>365</v>
      </c>
      <c r="C13" s="54" t="s">
        <v>209</v>
      </c>
      <c r="D13" s="64" t="s">
        <v>211</v>
      </c>
      <c r="F13" s="2" t="s">
        <v>396</v>
      </c>
      <c r="G13" s="54" t="s">
        <v>183</v>
      </c>
      <c r="H13" s="64" t="s">
        <v>210</v>
      </c>
    </row>
    <row r="14" spans="2:8" x14ac:dyDescent="0.25">
      <c r="B14" s="66" t="s">
        <v>366</v>
      </c>
      <c r="C14" s="54" t="s">
        <v>209</v>
      </c>
      <c r="D14" s="64" t="s">
        <v>208</v>
      </c>
      <c r="F14" s="2" t="s">
        <v>397</v>
      </c>
      <c r="G14" s="54" t="s">
        <v>183</v>
      </c>
      <c r="H14" s="64" t="s">
        <v>207</v>
      </c>
    </row>
    <row r="15" spans="2:8" ht="13.8" thickBot="1" x14ac:dyDescent="0.3">
      <c r="B15" s="2" t="s">
        <v>367</v>
      </c>
      <c r="C15" s="54" t="s">
        <v>206</v>
      </c>
      <c r="D15" s="64" t="s">
        <v>205</v>
      </c>
      <c r="F15" s="10" t="s">
        <v>398</v>
      </c>
      <c r="G15" s="68" t="s">
        <v>183</v>
      </c>
      <c r="H15" s="67" t="s">
        <v>204</v>
      </c>
    </row>
    <row r="16" spans="2:8" x14ac:dyDescent="0.25">
      <c r="B16" s="2" t="s">
        <v>368</v>
      </c>
      <c r="C16" s="54" t="s">
        <v>203</v>
      </c>
      <c r="D16" s="64" t="s">
        <v>202</v>
      </c>
      <c r="F16" s="70" t="s">
        <v>399</v>
      </c>
      <c r="G16" s="69" t="s">
        <v>183</v>
      </c>
      <c r="H16" s="1" t="s">
        <v>201</v>
      </c>
    </row>
    <row r="17" spans="2:9" x14ac:dyDescent="0.25">
      <c r="B17" s="2" t="s">
        <v>323</v>
      </c>
      <c r="C17" s="54" t="s">
        <v>194</v>
      </c>
      <c r="D17" s="64" t="s">
        <v>200</v>
      </c>
      <c r="F17" s="2" t="s">
        <v>400</v>
      </c>
      <c r="G17" s="54" t="s">
        <v>199</v>
      </c>
      <c r="H17" s="64" t="s">
        <v>198</v>
      </c>
    </row>
    <row r="18" spans="2:9" x14ac:dyDescent="0.25">
      <c r="B18" s="2" t="s">
        <v>324</v>
      </c>
      <c r="C18" s="54" t="s">
        <v>194</v>
      </c>
      <c r="D18" s="64" t="s">
        <v>197</v>
      </c>
      <c r="F18" s="2" t="s">
        <v>401</v>
      </c>
      <c r="G18" s="54" t="s">
        <v>196</v>
      </c>
      <c r="H18" s="64" t="s">
        <v>195</v>
      </c>
    </row>
    <row r="19" spans="2:9" x14ac:dyDescent="0.25">
      <c r="B19" s="2" t="s">
        <v>369</v>
      </c>
      <c r="C19" s="54" t="s">
        <v>194</v>
      </c>
      <c r="D19" s="64" t="s">
        <v>193</v>
      </c>
      <c r="F19" s="2" t="s">
        <v>339</v>
      </c>
      <c r="G19" s="54" t="s">
        <v>183</v>
      </c>
      <c r="H19" s="64" t="s">
        <v>192</v>
      </c>
    </row>
    <row r="20" spans="2:9" x14ac:dyDescent="0.25">
      <c r="B20" s="2" t="s">
        <v>370</v>
      </c>
      <c r="C20" s="54" t="s">
        <v>172</v>
      </c>
      <c r="D20" s="64" t="s">
        <v>325</v>
      </c>
      <c r="F20" s="2" t="s">
        <v>340</v>
      </c>
      <c r="G20" s="54" t="s">
        <v>183</v>
      </c>
      <c r="H20" s="64" t="s">
        <v>191</v>
      </c>
    </row>
    <row r="21" spans="2:9" x14ac:dyDescent="0.25">
      <c r="B21" s="2" t="s">
        <v>326</v>
      </c>
      <c r="C21" s="54" t="s">
        <v>183</v>
      </c>
      <c r="D21" s="64" t="s">
        <v>190</v>
      </c>
      <c r="F21" s="2" t="s">
        <v>395</v>
      </c>
      <c r="G21" s="54" t="s">
        <v>183</v>
      </c>
      <c r="H21" s="64" t="s">
        <v>189</v>
      </c>
    </row>
    <row r="22" spans="2:9" x14ac:dyDescent="0.25">
      <c r="B22" s="2" t="s">
        <v>327</v>
      </c>
      <c r="C22" s="54" t="s">
        <v>183</v>
      </c>
      <c r="D22" s="64" t="s">
        <v>188</v>
      </c>
      <c r="F22" s="2" t="s">
        <v>396</v>
      </c>
      <c r="G22" s="54" t="s">
        <v>183</v>
      </c>
      <c r="H22" s="64" t="s">
        <v>187</v>
      </c>
    </row>
    <row r="23" spans="2:9" x14ac:dyDescent="0.25">
      <c r="B23" s="2" t="s">
        <v>341</v>
      </c>
      <c r="C23" s="54" t="s">
        <v>183</v>
      </c>
      <c r="D23" s="64" t="s">
        <v>186</v>
      </c>
      <c r="F23" s="2" t="s">
        <v>397</v>
      </c>
      <c r="G23" s="54" t="s">
        <v>183</v>
      </c>
      <c r="H23" s="64" t="s">
        <v>185</v>
      </c>
    </row>
    <row r="24" spans="2:9" ht="13.8" thickBot="1" x14ac:dyDescent="0.3">
      <c r="B24" s="2" t="s">
        <v>328</v>
      </c>
      <c r="C24" s="54" t="s">
        <v>170</v>
      </c>
      <c r="D24" s="64" t="s">
        <v>184</v>
      </c>
      <c r="F24" s="10" t="s">
        <v>398</v>
      </c>
      <c r="G24" s="68" t="s">
        <v>183</v>
      </c>
      <c r="H24" s="67" t="s">
        <v>182</v>
      </c>
    </row>
    <row r="25" spans="2:9" x14ac:dyDescent="0.25">
      <c r="B25" s="2" t="s">
        <v>371</v>
      </c>
      <c r="C25" s="54" t="s">
        <v>161</v>
      </c>
      <c r="D25" s="64" t="s">
        <v>181</v>
      </c>
      <c r="F25" s="56"/>
      <c r="G25" s="56"/>
      <c r="H25" s="56"/>
    </row>
    <row r="26" spans="2:9" x14ac:dyDescent="0.25">
      <c r="B26" s="2" t="s">
        <v>372</v>
      </c>
      <c r="C26" s="54" t="s">
        <v>161</v>
      </c>
      <c r="D26" s="64" t="s">
        <v>180</v>
      </c>
      <c r="F26" s="56"/>
      <c r="G26" s="56"/>
      <c r="H26" s="56"/>
    </row>
    <row r="27" spans="2:9" x14ac:dyDescent="0.25">
      <c r="B27" s="191" t="s">
        <v>329</v>
      </c>
      <c r="C27" s="192"/>
      <c r="D27" s="64" t="s">
        <v>147</v>
      </c>
      <c r="F27" s="147" t="s">
        <v>291</v>
      </c>
      <c r="G27" s="56"/>
      <c r="H27" s="56"/>
    </row>
    <row r="28" spans="2:9" ht="13.8" thickBot="1" x14ac:dyDescent="0.3">
      <c r="B28" s="2" t="s">
        <v>373</v>
      </c>
      <c r="C28" s="54" t="s">
        <v>178</v>
      </c>
      <c r="D28" s="64" t="s">
        <v>179</v>
      </c>
      <c r="G28" s="147"/>
      <c r="H28" s="147"/>
      <c r="I28" s="14"/>
    </row>
    <row r="29" spans="2:9" x14ac:dyDescent="0.25">
      <c r="B29" s="2" t="s">
        <v>328</v>
      </c>
      <c r="C29" s="54" t="s">
        <v>178</v>
      </c>
      <c r="D29" s="64" t="s">
        <v>330</v>
      </c>
      <c r="F29" s="149">
        <f>4*B8/(B9+B10)/B21</f>
        <v>51.328903654485039</v>
      </c>
      <c r="G29" s="69" t="s">
        <v>293</v>
      </c>
      <c r="H29" s="118" t="s">
        <v>292</v>
      </c>
    </row>
    <row r="30" spans="2:9" x14ac:dyDescent="0.25">
      <c r="B30" s="2" t="s">
        <v>328</v>
      </c>
      <c r="C30" s="54" t="s">
        <v>177</v>
      </c>
      <c r="D30" s="64" t="s">
        <v>331</v>
      </c>
      <c r="F30" s="150">
        <f>30*F29/PI()</f>
        <v>490.1549244059367</v>
      </c>
      <c r="G30" s="54" t="s">
        <v>172</v>
      </c>
      <c r="H30" s="41" t="s">
        <v>292</v>
      </c>
    </row>
    <row r="31" spans="2:9" x14ac:dyDescent="0.25">
      <c r="B31" s="2" t="s">
        <v>374</v>
      </c>
      <c r="C31" s="54" t="s">
        <v>171</v>
      </c>
      <c r="D31" s="64" t="s">
        <v>176</v>
      </c>
      <c r="F31" s="66">
        <f>4.61*B7/(B9+B10)/B21</f>
        <v>161.70736434108525</v>
      </c>
      <c r="G31" s="148" t="s">
        <v>274</v>
      </c>
      <c r="H31" s="151" t="s">
        <v>294</v>
      </c>
    </row>
    <row r="32" spans="2:9" x14ac:dyDescent="0.25">
      <c r="B32" s="2" t="s">
        <v>375</v>
      </c>
      <c r="C32" s="54" t="s">
        <v>171</v>
      </c>
      <c r="D32" s="64" t="s">
        <v>175</v>
      </c>
      <c r="F32" s="66">
        <f>F31/SQRT(2)</f>
        <v>114.34437389338508</v>
      </c>
      <c r="G32" s="148" t="s">
        <v>252</v>
      </c>
      <c r="H32" s="151" t="s">
        <v>294</v>
      </c>
    </row>
    <row r="33" spans="2:8" x14ac:dyDescent="0.25">
      <c r="B33" s="2" t="s">
        <v>376</v>
      </c>
      <c r="C33" s="54" t="s">
        <v>173</v>
      </c>
      <c r="D33" s="64" t="s">
        <v>174</v>
      </c>
      <c r="F33" s="152">
        <f>B31/141.6/B33</f>
        <v>0.12600723767528232</v>
      </c>
      <c r="G33" s="148" t="s">
        <v>295</v>
      </c>
      <c r="H33" s="151" t="s">
        <v>107</v>
      </c>
    </row>
    <row r="34" spans="2:8" x14ac:dyDescent="0.25">
      <c r="B34" s="2" t="s">
        <v>377</v>
      </c>
      <c r="C34" s="54" t="s">
        <v>173</v>
      </c>
      <c r="D34" s="64" t="s">
        <v>132</v>
      </c>
      <c r="F34" s="66">
        <f>2*F33*B7/((B9+B10)*B21)</f>
        <v>8.8400426431108894</v>
      </c>
      <c r="G34" s="148" t="s">
        <v>247</v>
      </c>
      <c r="H34" s="151" t="s">
        <v>296</v>
      </c>
    </row>
    <row r="35" spans="2:8" ht="13.8" thickBot="1" x14ac:dyDescent="0.3">
      <c r="B35" s="2" t="s">
        <v>378</v>
      </c>
      <c r="C35" s="54" t="s">
        <v>172</v>
      </c>
      <c r="D35" s="64" t="s">
        <v>129</v>
      </c>
      <c r="F35" s="80">
        <f>F32/SQRT(2)</f>
        <v>80.853682170542612</v>
      </c>
      <c r="G35" s="68" t="s">
        <v>252</v>
      </c>
      <c r="H35" s="153" t="s">
        <v>297</v>
      </c>
    </row>
    <row r="36" spans="2:8" x14ac:dyDescent="0.25">
      <c r="B36" s="2" t="s">
        <v>379</v>
      </c>
      <c r="C36" s="54" t="s">
        <v>171</v>
      </c>
      <c r="D36" s="64" t="s">
        <v>124</v>
      </c>
    </row>
    <row r="37" spans="2:8" x14ac:dyDescent="0.25">
      <c r="B37" s="2" t="s">
        <v>380</v>
      </c>
      <c r="C37" s="54" t="s">
        <v>170</v>
      </c>
      <c r="D37" s="64" t="s">
        <v>169</v>
      </c>
    </row>
    <row r="38" spans="2:8" x14ac:dyDescent="0.25">
      <c r="B38" s="66" t="s">
        <v>381</v>
      </c>
      <c r="C38" s="54" t="s">
        <v>168</v>
      </c>
      <c r="D38" s="64" t="s">
        <v>167</v>
      </c>
    </row>
    <row r="39" spans="2:8" x14ac:dyDescent="0.25">
      <c r="B39" s="2" t="s">
        <v>324</v>
      </c>
      <c r="C39" s="54" t="s">
        <v>165</v>
      </c>
      <c r="D39" s="64" t="s">
        <v>166</v>
      </c>
    </row>
    <row r="40" spans="2:8" x14ac:dyDescent="0.25">
      <c r="B40" s="2" t="s">
        <v>382</v>
      </c>
      <c r="C40" s="54" t="s">
        <v>165</v>
      </c>
      <c r="D40" s="64" t="s">
        <v>164</v>
      </c>
    </row>
    <row r="41" spans="2:8" x14ac:dyDescent="0.25">
      <c r="B41" s="2" t="s">
        <v>162</v>
      </c>
      <c r="C41" s="54" t="s">
        <v>161</v>
      </c>
      <c r="D41" s="64" t="s">
        <v>163</v>
      </c>
    </row>
    <row r="42" spans="2:8" x14ac:dyDescent="0.25">
      <c r="B42" s="2" t="s">
        <v>162</v>
      </c>
      <c r="C42" s="54" t="s">
        <v>161</v>
      </c>
      <c r="D42" s="64" t="s">
        <v>160</v>
      </c>
    </row>
    <row r="43" spans="2:8" ht="330" x14ac:dyDescent="0.25">
      <c r="B43" s="65" t="s">
        <v>383</v>
      </c>
      <c r="C43" s="54" t="s">
        <v>159</v>
      </c>
      <c r="D43" s="64" t="s">
        <v>158</v>
      </c>
    </row>
    <row r="44" spans="2:8" x14ac:dyDescent="0.25">
      <c r="B44" s="54" t="s">
        <v>290</v>
      </c>
      <c r="C44" s="54" t="s">
        <v>157</v>
      </c>
      <c r="D44" s="54" t="s">
        <v>156</v>
      </c>
    </row>
    <row r="45" spans="2:8" x14ac:dyDescent="0.25">
      <c r="B45" s="54" t="s">
        <v>155</v>
      </c>
      <c r="C45" s="54" t="s">
        <v>151</v>
      </c>
      <c r="D45" s="63" t="s">
        <v>384</v>
      </c>
    </row>
    <row r="46" spans="2:8" x14ac:dyDescent="0.25">
      <c r="B46" s="54" t="s">
        <v>154</v>
      </c>
      <c r="C46" s="54" t="s">
        <v>151</v>
      </c>
      <c r="D46" s="62" t="s">
        <v>385</v>
      </c>
    </row>
    <row r="47" spans="2:8" x14ac:dyDescent="0.25">
      <c r="B47" s="54" t="s">
        <v>153</v>
      </c>
      <c r="C47" s="54" t="s">
        <v>151</v>
      </c>
      <c r="D47" s="54" t="s">
        <v>386</v>
      </c>
    </row>
    <row r="48" spans="2:8" x14ac:dyDescent="0.25">
      <c r="B48" s="54" t="s">
        <v>152</v>
      </c>
      <c r="C48" s="54" t="s">
        <v>151</v>
      </c>
      <c r="D48" s="54"/>
    </row>
    <row r="49" spans="2:4" x14ac:dyDescent="0.25">
      <c r="B49" s="54" t="s">
        <v>298</v>
      </c>
      <c r="C49" s="54" t="s">
        <v>252</v>
      </c>
      <c r="D49" s="54" t="s">
        <v>387</v>
      </c>
    </row>
    <row r="50" spans="2:4" x14ac:dyDescent="0.25">
      <c r="B50" s="54" t="s">
        <v>332</v>
      </c>
      <c r="C50" s="54" t="s">
        <v>333</v>
      </c>
      <c r="D50" s="54" t="s">
        <v>388</v>
      </c>
    </row>
    <row r="51" spans="2:4" x14ac:dyDescent="0.25">
      <c r="B51" s="54" t="s">
        <v>334</v>
      </c>
      <c r="C51" s="54" t="s">
        <v>335</v>
      </c>
      <c r="D51" s="54" t="s">
        <v>389</v>
      </c>
    </row>
    <row r="52" spans="2:4" x14ac:dyDescent="0.25">
      <c r="B52" s="54" t="s">
        <v>336</v>
      </c>
      <c r="C52" s="54" t="s">
        <v>337</v>
      </c>
      <c r="D52" s="54" t="s">
        <v>390</v>
      </c>
    </row>
    <row r="53" spans="2:4" x14ac:dyDescent="0.25">
      <c r="B53" s="54" t="s">
        <v>338</v>
      </c>
      <c r="C53" s="54" t="s">
        <v>335</v>
      </c>
      <c r="D53" s="54" t="s">
        <v>391</v>
      </c>
    </row>
    <row r="54" spans="2:4" x14ac:dyDescent="0.25">
      <c r="B54" s="54"/>
      <c r="C54" s="54"/>
      <c r="D54" s="54"/>
    </row>
    <row r="55" spans="2:4" x14ac:dyDescent="0.25">
      <c r="B55" s="54"/>
      <c r="C55" s="54"/>
      <c r="D55" s="54"/>
    </row>
    <row r="56" spans="2:4" x14ac:dyDescent="0.25">
      <c r="B56" s="54"/>
      <c r="C56" s="54"/>
      <c r="D56" s="54"/>
    </row>
    <row r="57" spans="2:4" x14ac:dyDescent="0.25">
      <c r="B57" s="54"/>
      <c r="C57" s="54"/>
      <c r="D57" s="54"/>
    </row>
    <row r="58" spans="2:4" x14ac:dyDescent="0.25">
      <c r="B58" s="54"/>
      <c r="C58" s="54"/>
      <c r="D58" s="54"/>
    </row>
    <row r="59" spans="2:4" x14ac:dyDescent="0.25">
      <c r="B59" s="54"/>
      <c r="C59" s="54"/>
      <c r="D59" s="54"/>
    </row>
    <row r="60" spans="2:4" x14ac:dyDescent="0.25">
      <c r="B60" s="54"/>
      <c r="C60" s="54"/>
      <c r="D60" s="54"/>
    </row>
    <row r="61" spans="2:4" x14ac:dyDescent="0.25">
      <c r="B61" s="54"/>
      <c r="C61" s="54"/>
      <c r="D61" s="54"/>
    </row>
  </sheetData>
  <mergeCells count="1">
    <mergeCell ref="B27:C27"/>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11"/>
  <sheetViews>
    <sheetView workbookViewId="0">
      <selection activeCell="C20" sqref="C20"/>
    </sheetView>
  </sheetViews>
  <sheetFormatPr defaultRowHeight="13.2" x14ac:dyDescent="0.25"/>
  <cols>
    <col min="2" max="2" width="15.33203125" customWidth="1"/>
    <col min="3" max="3" width="19.33203125" customWidth="1"/>
    <col min="4" max="4" width="53.88671875" customWidth="1"/>
  </cols>
  <sheetData>
    <row r="1" spans="2:4" ht="17.399999999999999" x14ac:dyDescent="0.3">
      <c r="B1" s="79" t="s">
        <v>242</v>
      </c>
    </row>
    <row r="2" spans="2:4" ht="17.399999999999999" x14ac:dyDescent="0.3">
      <c r="B2" s="79"/>
    </row>
    <row r="3" spans="2:4" ht="13.8" thickBot="1" x14ac:dyDescent="0.3"/>
    <row r="4" spans="2:4" ht="13.8" thickBot="1" x14ac:dyDescent="0.3">
      <c r="B4" s="78" t="s">
        <v>142</v>
      </c>
      <c r="C4" s="78" t="s">
        <v>143</v>
      </c>
      <c r="D4" s="78" t="s">
        <v>146</v>
      </c>
    </row>
    <row r="5" spans="2:4" x14ac:dyDescent="0.25">
      <c r="B5" s="70" t="s">
        <v>402</v>
      </c>
      <c r="C5" s="69" t="s">
        <v>241</v>
      </c>
      <c r="D5" s="1" t="s">
        <v>148</v>
      </c>
    </row>
    <row r="6" spans="2:4" x14ac:dyDescent="0.25">
      <c r="B6" s="2" t="s">
        <v>403</v>
      </c>
      <c r="C6" s="54" t="s">
        <v>26</v>
      </c>
      <c r="D6" s="64" t="s">
        <v>27</v>
      </c>
    </row>
    <row r="7" spans="2:4" x14ac:dyDescent="0.25">
      <c r="B7" s="2" t="s">
        <v>322</v>
      </c>
      <c r="C7" s="54" t="s">
        <v>26</v>
      </c>
      <c r="D7" s="64" t="s">
        <v>240</v>
      </c>
    </row>
    <row r="8" spans="2:4" x14ac:dyDescent="0.25">
      <c r="B8" s="2" t="s">
        <v>342</v>
      </c>
      <c r="C8" s="54" t="s">
        <v>26</v>
      </c>
      <c r="D8" s="64" t="s">
        <v>343</v>
      </c>
    </row>
    <row r="9" spans="2:4" x14ac:dyDescent="0.25">
      <c r="B9" s="2" t="s">
        <v>328</v>
      </c>
      <c r="C9" s="54" t="s">
        <v>239</v>
      </c>
      <c r="D9" s="64" t="s">
        <v>238</v>
      </c>
    </row>
    <row r="10" spans="2:4" x14ac:dyDescent="0.25">
      <c r="B10" s="81" t="s">
        <v>328</v>
      </c>
      <c r="C10" s="54" t="s">
        <v>236</v>
      </c>
      <c r="D10" s="64" t="s">
        <v>237</v>
      </c>
    </row>
    <row r="11" spans="2:4" ht="13.8" thickBot="1" x14ac:dyDescent="0.3">
      <c r="B11" s="80" t="s">
        <v>328</v>
      </c>
      <c r="C11" s="68" t="s">
        <v>236</v>
      </c>
      <c r="D11" s="67" t="s">
        <v>235</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BJ188"/>
  <sheetViews>
    <sheetView workbookViewId="0"/>
  </sheetViews>
  <sheetFormatPr defaultRowHeight="13.2" x14ac:dyDescent="0.25"/>
  <cols>
    <col min="2" max="2" width="21.109375" customWidth="1"/>
    <col min="3" max="4" width="20.88671875" customWidth="1"/>
    <col min="5" max="6" width="21.88671875" customWidth="1"/>
    <col min="8" max="8" width="11.33203125" customWidth="1"/>
    <col min="9" max="9" width="10.6640625" customWidth="1"/>
    <col min="10" max="10" width="11.6640625" customWidth="1"/>
    <col min="11" max="11" width="14.88671875" customWidth="1"/>
    <col min="12" max="12" width="17.88671875" customWidth="1"/>
    <col min="13" max="17" width="11.6640625" customWidth="1"/>
    <col min="18" max="18" width="16.33203125" customWidth="1"/>
    <col min="19" max="19" width="18.6640625" customWidth="1"/>
    <col min="20" max="20" width="14.6640625" customWidth="1"/>
    <col min="23" max="23" width="17.109375" customWidth="1"/>
    <col min="24" max="24" width="14.6640625" customWidth="1"/>
    <col min="25" max="25" width="11.5546875" customWidth="1"/>
    <col min="30" max="30" width="14.33203125" customWidth="1"/>
    <col min="31" max="31" width="17" customWidth="1"/>
    <col min="36" max="36" width="14.44140625" customWidth="1"/>
    <col min="41" max="42" width="12.109375" customWidth="1"/>
    <col min="43" max="43" width="12.88671875" customWidth="1"/>
    <col min="44" max="44" width="13" customWidth="1"/>
    <col min="46" max="46" width="12.5546875" customWidth="1"/>
    <col min="47" max="47" width="11.44140625" customWidth="1"/>
    <col min="62" max="62" width="9.5546875" bestFit="1" customWidth="1"/>
  </cols>
  <sheetData>
    <row r="1" spans="2:62" ht="17.399999999999999" x14ac:dyDescent="0.3">
      <c r="B1" s="79" t="s">
        <v>282</v>
      </c>
      <c r="W1" s="104" t="s">
        <v>278</v>
      </c>
      <c r="X1" s="138">
        <v>1</v>
      </c>
      <c r="Y1" s="138" t="s">
        <v>172</v>
      </c>
      <c r="Z1" s="103" t="s">
        <v>281</v>
      </c>
      <c r="AA1" s="103"/>
      <c r="AB1" s="102"/>
      <c r="AD1" s="136">
        <v>1</v>
      </c>
      <c r="AE1" s="136" t="s">
        <v>236</v>
      </c>
      <c r="AF1" t="s">
        <v>280</v>
      </c>
      <c r="AJ1" s="136">
        <v>1E-3</v>
      </c>
      <c r="AK1" s="136" t="s">
        <v>251</v>
      </c>
      <c r="AL1" t="s">
        <v>279</v>
      </c>
      <c r="AX1" s="169" t="s">
        <v>353</v>
      </c>
      <c r="AY1">
        <v>1</v>
      </c>
      <c r="BD1" s="174" t="s">
        <v>344</v>
      </c>
      <c r="BE1" s="175"/>
      <c r="BF1" s="26">
        <f>MotorSpecs1!J46</f>
        <v>-10</v>
      </c>
      <c r="BH1" s="169" t="s">
        <v>346</v>
      </c>
      <c r="BI1" s="169"/>
      <c r="BJ1" s="170">
        <f>BF1*MotorSpecs1!F48</f>
        <v>-3000</v>
      </c>
    </row>
    <row r="2" spans="2:62" ht="18" thickBot="1" x14ac:dyDescent="0.35">
      <c r="B2" s="79"/>
      <c r="W2" s="101" t="s">
        <v>278</v>
      </c>
      <c r="X2" s="137">
        <v>141.6</v>
      </c>
      <c r="Y2" s="137" t="s">
        <v>247</v>
      </c>
      <c r="Z2" s="56" t="s">
        <v>277</v>
      </c>
      <c r="AA2" s="56"/>
      <c r="AB2" s="99"/>
      <c r="AC2" t="s">
        <v>276</v>
      </c>
      <c r="AD2" s="136" t="str">
        <f>"Current " &amp; AE1</f>
        <v>Current Amps Peak of Sine</v>
      </c>
      <c r="AE2" s="136"/>
      <c r="AI2" t="s">
        <v>276</v>
      </c>
      <c r="AJ2" s="136" t="str">
        <f>"Output Power " &amp; AK1</f>
        <v>Output Power KiloWatts</v>
      </c>
      <c r="AK2" s="136"/>
      <c r="BD2" s="174" t="s">
        <v>345</v>
      </c>
      <c r="BE2" s="175"/>
      <c r="BF2" s="26">
        <f>MotorSpecs1!J45</f>
        <v>-10</v>
      </c>
      <c r="BH2" s="169" t="s">
        <v>347</v>
      </c>
      <c r="BI2" s="169"/>
      <c r="BJ2" s="171">
        <f>BF2*MotorSpecs1!F48</f>
        <v>-3000</v>
      </c>
    </row>
    <row r="3" spans="2:62" s="8" customFormat="1" ht="66" x14ac:dyDescent="0.25">
      <c r="B3" s="127" t="s">
        <v>273</v>
      </c>
      <c r="C3" s="135" t="s">
        <v>171</v>
      </c>
      <c r="D3" s="135" t="s">
        <v>275</v>
      </c>
      <c r="E3" s="135" t="s">
        <v>171</v>
      </c>
      <c r="F3" s="133" t="s">
        <v>274</v>
      </c>
      <c r="H3" s="127" t="s">
        <v>273</v>
      </c>
      <c r="I3" s="135" t="s">
        <v>272</v>
      </c>
      <c r="J3" s="9" t="s">
        <v>271</v>
      </c>
      <c r="K3" s="132" t="s">
        <v>259</v>
      </c>
      <c r="L3" s="133" t="s">
        <v>132</v>
      </c>
      <c r="M3" s="129"/>
      <c r="N3" s="132" t="s">
        <v>270</v>
      </c>
      <c r="O3" s="134" t="s">
        <v>268</v>
      </c>
      <c r="P3" s="134" t="s">
        <v>269</v>
      </c>
      <c r="Q3" s="133" t="s">
        <v>268</v>
      </c>
      <c r="R3" s="134" t="s">
        <v>267</v>
      </c>
      <c r="S3" s="133" t="s">
        <v>266</v>
      </c>
      <c r="T3" s="132" t="s">
        <v>265</v>
      </c>
      <c r="U3" s="9" t="s">
        <v>264</v>
      </c>
      <c r="W3" s="131" t="s">
        <v>263</v>
      </c>
      <c r="X3" s="130" t="str">
        <f>"Torque "&amp;Y2</f>
        <v>Torque N*m</v>
      </c>
      <c r="Y3" s="129"/>
      <c r="Z3" s="129"/>
      <c r="AA3" s="129"/>
      <c r="AB3" s="128"/>
      <c r="AO3" s="127" t="s">
        <v>262</v>
      </c>
      <c r="AP3" s="9" t="s">
        <v>261</v>
      </c>
      <c r="AQ3" s="127" t="s">
        <v>262</v>
      </c>
      <c r="AR3" s="9" t="s">
        <v>261</v>
      </c>
      <c r="AT3" s="154" t="s">
        <v>299</v>
      </c>
      <c r="AU3" s="155" t="s">
        <v>300</v>
      </c>
      <c r="AW3" s="156" t="s">
        <v>302</v>
      </c>
      <c r="AX3" s="156" t="s">
        <v>304</v>
      </c>
      <c r="AY3" s="156" t="s">
        <v>305</v>
      </c>
      <c r="AZ3" s="156" t="s">
        <v>306</v>
      </c>
      <c r="BA3" s="156" t="s">
        <v>308</v>
      </c>
      <c r="BB3" s="156" t="s">
        <v>307</v>
      </c>
      <c r="BD3" s="176" t="s">
        <v>348</v>
      </c>
      <c r="BE3" s="176" t="s">
        <v>349</v>
      </c>
      <c r="BF3" s="172" t="s">
        <v>348</v>
      </c>
      <c r="BG3" s="176" t="s">
        <v>349</v>
      </c>
    </row>
    <row r="4" spans="2:62" ht="13.8" thickBot="1" x14ac:dyDescent="0.3">
      <c r="B4" s="10" t="s">
        <v>172</v>
      </c>
      <c r="C4" s="68" t="s">
        <v>260</v>
      </c>
      <c r="D4" s="68" t="s">
        <v>259</v>
      </c>
      <c r="E4" s="68" t="s">
        <v>175</v>
      </c>
      <c r="F4" s="23" t="s">
        <v>132</v>
      </c>
      <c r="H4" s="10" t="str">
        <f>Y1</f>
        <v>RPM</v>
      </c>
      <c r="I4" s="68" t="str">
        <f>Y2</f>
        <v>N*m</v>
      </c>
      <c r="J4" s="67" t="str">
        <f>Y2</f>
        <v>N*m</v>
      </c>
      <c r="K4" s="10" t="str">
        <f>AE1</f>
        <v>Amps Peak of Sine</v>
      </c>
      <c r="L4" s="67" t="str">
        <f>AE1</f>
        <v>Amps Peak of Sine</v>
      </c>
      <c r="M4" s="56"/>
      <c r="N4" s="10" t="s">
        <v>170</v>
      </c>
      <c r="O4" s="68" t="s">
        <v>170</v>
      </c>
      <c r="P4" s="68" t="str">
        <f>AK1</f>
        <v>KiloWatts</v>
      </c>
      <c r="Q4" s="23" t="str">
        <f>AK1</f>
        <v>KiloWatts</v>
      </c>
      <c r="R4" s="68" t="s">
        <v>258</v>
      </c>
      <c r="S4" s="23" t="s">
        <v>258</v>
      </c>
      <c r="T4" s="3" t="s">
        <v>170</v>
      </c>
      <c r="U4" s="67" t="str">
        <f>AK1</f>
        <v>KiloWatts</v>
      </c>
      <c r="W4" s="101" t="s">
        <v>257</v>
      </c>
      <c r="X4" s="126" t="str">
        <f>"Speed " &amp; Y1</f>
        <v>Speed RPM</v>
      </c>
      <c r="Y4" s="56"/>
      <c r="Z4" s="56"/>
      <c r="AA4" s="56"/>
      <c r="AB4" s="99"/>
      <c r="AO4" s="10" t="s">
        <v>170</v>
      </c>
      <c r="AP4" s="67" t="s">
        <v>170</v>
      </c>
      <c r="AQ4" s="10" t="str">
        <f>AK1</f>
        <v>KiloWatts</v>
      </c>
      <c r="AR4" s="67" t="str">
        <f>AK1</f>
        <v>KiloWatts</v>
      </c>
      <c r="AT4" s="19" t="s">
        <v>301</v>
      </c>
      <c r="AU4" s="15" t="s">
        <v>301</v>
      </c>
      <c r="AW4" s="54" t="s">
        <v>303</v>
      </c>
      <c r="AX4" s="54" t="s">
        <v>309</v>
      </c>
      <c r="AY4" s="54" t="s">
        <v>309</v>
      </c>
      <c r="AZ4" s="54" t="s">
        <v>309</v>
      </c>
      <c r="BA4" s="54" t="s">
        <v>309</v>
      </c>
      <c r="BB4" s="54" t="s">
        <v>309</v>
      </c>
      <c r="BD4" s="54" t="s">
        <v>203</v>
      </c>
      <c r="BE4" s="54" t="s">
        <v>203</v>
      </c>
      <c r="BF4" s="54" t="str">
        <f>Y2</f>
        <v>N*m</v>
      </c>
      <c r="BG4" s="54" t="str">
        <f>Y2</f>
        <v>N*m</v>
      </c>
    </row>
    <row r="5" spans="2:62" x14ac:dyDescent="0.25">
      <c r="B5" s="125">
        <v>0</v>
      </c>
      <c r="C5" s="124">
        <v>1228.7517816570928</v>
      </c>
      <c r="D5" s="124">
        <v>79.541258941792151</v>
      </c>
      <c r="E5" s="124">
        <v>3427.4031144820051</v>
      </c>
      <c r="F5" s="123">
        <v>397.70629470896068</v>
      </c>
      <c r="H5" s="92">
        <f t="shared" ref="H5:H36" si="0">B5*$X$1</f>
        <v>0</v>
      </c>
      <c r="I5" s="122">
        <f>C5/$X$2</f>
        <v>8.6776255766743837</v>
      </c>
      <c r="J5" s="87">
        <f t="shared" ref="J5:J36" si="1">E5/$X$2</f>
        <v>24.204824254816423</v>
      </c>
      <c r="K5" s="92">
        <f t="shared" ref="K5:K36" si="2">D5*$AD$1</f>
        <v>79.541258941792151</v>
      </c>
      <c r="L5" s="87">
        <f t="shared" ref="L5:L36" si="3">$AD$1*F5</f>
        <v>397.70629470896068</v>
      </c>
      <c r="M5" s="56"/>
      <c r="N5" s="120">
        <v>0</v>
      </c>
      <c r="O5" s="121">
        <v>0</v>
      </c>
      <c r="P5" s="69">
        <f t="shared" ref="P5:P36" si="4">N5*$AJ$1</f>
        <v>0</v>
      </c>
      <c r="Q5" s="69">
        <f t="shared" ref="Q5:Q36" si="5">O5*$AJ$1</f>
        <v>0</v>
      </c>
      <c r="R5" s="121">
        <v>0</v>
      </c>
      <c r="S5" s="119">
        <v>0</v>
      </c>
      <c r="T5" s="88">
        <v>0</v>
      </c>
      <c r="U5" s="87">
        <f t="shared" ref="U5:U36" si="6">T5*$AJ$1</f>
        <v>0</v>
      </c>
      <c r="W5" s="108"/>
      <c r="X5" s="112" t="s">
        <v>256</v>
      </c>
      <c r="Y5" s="111"/>
      <c r="Z5" s="21"/>
      <c r="AA5" s="56"/>
      <c r="AB5" s="99"/>
      <c r="AD5" s="115" t="s">
        <v>255</v>
      </c>
      <c r="AE5" s="115"/>
      <c r="AJ5" s="116" t="s">
        <v>255</v>
      </c>
      <c r="AK5" s="116"/>
      <c r="AL5" s="116"/>
      <c r="AO5" s="120">
        <v>319.33578157432555</v>
      </c>
      <c r="AP5" s="119">
        <v>7983.3945393581362</v>
      </c>
      <c r="AQ5" s="30">
        <f t="shared" ref="AQ5:AQ36" si="7">AO5*$AJ$1</f>
        <v>0.31933578157432557</v>
      </c>
      <c r="AR5" s="118">
        <f t="shared" ref="AR5:AR36" si="8">AP5*$AJ$1</f>
        <v>7.9833945393581365</v>
      </c>
      <c r="AT5" s="54">
        <v>0</v>
      </c>
      <c r="AU5" s="54">
        <v>0</v>
      </c>
      <c r="AW5" s="54">
        <v>300</v>
      </c>
      <c r="AX5" s="54">
        <v>23.17898935805583</v>
      </c>
      <c r="AY5" s="54">
        <v>4.6357978716111665</v>
      </c>
      <c r="AZ5" s="54">
        <v>0</v>
      </c>
      <c r="BA5" s="54">
        <v>0</v>
      </c>
      <c r="BB5" s="54">
        <v>0</v>
      </c>
      <c r="BD5" s="54">
        <f>141.6*$BJ$2*R6*$AY$1/(B6*PI()/30+0.000001)</f>
        <v>-7685.9860129041299</v>
      </c>
      <c r="BE5" s="54">
        <f>141.6*$BJ$1*R6/(B6*PI()/30+0.000001)</f>
        <v>-7685.9860129041299</v>
      </c>
      <c r="BF5" s="54">
        <f>MIN(BD5/$X$2,I5)</f>
        <v>-54.279562238023516</v>
      </c>
      <c r="BG5" s="54">
        <f>MIN(BE5/$X$2,J5)</f>
        <v>-54.279562238023516</v>
      </c>
    </row>
    <row r="6" spans="2:62" x14ac:dyDescent="0.25">
      <c r="B6" s="93">
        <v>175.8241758241758</v>
      </c>
      <c r="C6" s="95">
        <v>1228.2396178746637</v>
      </c>
      <c r="D6" s="95">
        <v>79.526101832984139</v>
      </c>
      <c r="E6" s="95">
        <v>3427.1102199857887</v>
      </c>
      <c r="F6" s="94">
        <v>397.70326356447674</v>
      </c>
      <c r="H6" s="92">
        <f t="shared" si="0"/>
        <v>175.8241758241758</v>
      </c>
      <c r="I6" s="54">
        <f t="shared" ref="I6:I36" si="9">C6/$X$2</f>
        <v>8.6740086008097723</v>
      </c>
      <c r="J6" s="64">
        <f t="shared" si="1"/>
        <v>24.202755790860092</v>
      </c>
      <c r="K6" s="2">
        <f t="shared" si="2"/>
        <v>79.526101832984139</v>
      </c>
      <c r="L6" s="64">
        <f t="shared" si="3"/>
        <v>397.70326356447674</v>
      </c>
      <c r="M6" s="56"/>
      <c r="N6" s="91">
        <v>159.70814181672475</v>
      </c>
      <c r="O6" s="90">
        <v>445.62754455205203</v>
      </c>
      <c r="P6" s="54">
        <f t="shared" si="4"/>
        <v>0.15970814181672474</v>
      </c>
      <c r="Q6" s="54">
        <f t="shared" si="5"/>
        <v>0.44562754455205206</v>
      </c>
      <c r="R6" s="90">
        <v>0.33313657285176052</v>
      </c>
      <c r="S6" s="89">
        <v>5.286590907873915E-2</v>
      </c>
      <c r="T6" s="88">
        <v>0.48507443833134617</v>
      </c>
      <c r="U6" s="87">
        <f t="shared" si="6"/>
        <v>4.8507443833134615E-4</v>
      </c>
      <c r="W6" s="108"/>
      <c r="X6" s="117" t="s">
        <v>254</v>
      </c>
      <c r="Y6" s="109" t="s">
        <v>231</v>
      </c>
      <c r="Z6" s="21"/>
      <c r="AA6" s="56"/>
      <c r="AB6" s="99"/>
      <c r="AD6" s="115" t="s">
        <v>254</v>
      </c>
      <c r="AE6" s="115" t="s">
        <v>143</v>
      </c>
      <c r="AJ6" s="116" t="s">
        <v>254</v>
      </c>
      <c r="AK6" s="116" t="s">
        <v>143</v>
      </c>
      <c r="AL6" s="116"/>
      <c r="AO6" s="91">
        <v>319.21409011292855</v>
      </c>
      <c r="AP6" s="89">
        <v>7983.2728478967392</v>
      </c>
      <c r="AQ6" s="5">
        <f t="shared" si="7"/>
        <v>0.31921409011292856</v>
      </c>
      <c r="AR6" s="41">
        <f t="shared" si="8"/>
        <v>7.983272847896739</v>
      </c>
      <c r="AT6" s="54">
        <v>0</v>
      </c>
      <c r="AU6" s="54">
        <v>0</v>
      </c>
      <c r="AW6" s="54">
        <v>300</v>
      </c>
      <c r="AX6" s="54">
        <v>25.222843968520188</v>
      </c>
      <c r="AY6" s="54">
        <v>7.0667264741337332</v>
      </c>
      <c r="AZ6" s="54">
        <v>2.3323644876044631</v>
      </c>
      <c r="BA6" s="54">
        <v>0</v>
      </c>
      <c r="BB6" s="54">
        <v>0</v>
      </c>
      <c r="BD6" s="54">
        <f t="shared" ref="BD6:BD69" si="10">141.6*$BJ$2*R7*$AY$1/(B7*PI()/30+0.000001)</f>
        <v>-5760.2827022637211</v>
      </c>
      <c r="BE6" s="54">
        <f t="shared" ref="BE6:BE69" si="11">141.6*$BJ$1*R7/(B7*PI()/30+0.000001)</f>
        <v>-5760.2827022637211</v>
      </c>
      <c r="BF6" s="54">
        <f t="shared" ref="BF6:BF69" si="12">MIN(BD6/$X$2,I6)</f>
        <v>-40.679962586608205</v>
      </c>
      <c r="BG6" s="54">
        <f t="shared" ref="BG6:BG69" si="13">MIN(BE6/$X$2,J6)</f>
        <v>-40.679962586608205</v>
      </c>
    </row>
    <row r="7" spans="2:62" x14ac:dyDescent="0.25">
      <c r="B7" s="93">
        <v>351.64835164835159</v>
      </c>
      <c r="C7" s="95">
        <v>1227.6926120342694</v>
      </c>
      <c r="D7" s="95">
        <v>79.508644892467899</v>
      </c>
      <c r="E7" s="95">
        <v>3426.8157624134406</v>
      </c>
      <c r="F7" s="94">
        <v>397.69977318288983</v>
      </c>
      <c r="H7" s="92">
        <f t="shared" si="0"/>
        <v>351.64835164835159</v>
      </c>
      <c r="I7" s="54">
        <f t="shared" si="9"/>
        <v>8.6701455652137671</v>
      </c>
      <c r="J7" s="64">
        <f t="shared" si="1"/>
        <v>24.200676288230515</v>
      </c>
      <c r="K7" s="2">
        <f t="shared" si="2"/>
        <v>79.508644892467899</v>
      </c>
      <c r="L7" s="64">
        <f t="shared" si="3"/>
        <v>397.69977318288983</v>
      </c>
      <c r="M7" s="56"/>
      <c r="N7" s="91">
        <v>319.27402916606229</v>
      </c>
      <c r="O7" s="90">
        <v>891.17851239864808</v>
      </c>
      <c r="P7" s="54">
        <f t="shared" si="4"/>
        <v>0.31927402916606229</v>
      </c>
      <c r="Q7" s="54">
        <f t="shared" si="5"/>
        <v>0.89117851239864809</v>
      </c>
      <c r="R7" s="90">
        <v>0.49934017125628422</v>
      </c>
      <c r="S7" s="89">
        <v>0.10041028605569242</v>
      </c>
      <c r="T7" s="88">
        <v>1.0436360691456492</v>
      </c>
      <c r="U7" s="87">
        <f t="shared" si="6"/>
        <v>1.0436360691456492E-3</v>
      </c>
      <c r="W7" s="108"/>
      <c r="X7" s="117">
        <v>1</v>
      </c>
      <c r="Y7" s="109" t="s">
        <v>203</v>
      </c>
      <c r="Z7" s="21"/>
      <c r="AA7" s="56"/>
      <c r="AB7" s="99"/>
      <c r="AD7" s="115">
        <v>1</v>
      </c>
      <c r="AE7" s="115" t="s">
        <v>236</v>
      </c>
      <c r="AJ7" s="116">
        <v>1</v>
      </c>
      <c r="AK7" s="116" t="s">
        <v>170</v>
      </c>
      <c r="AL7" s="116"/>
      <c r="AO7" s="91">
        <v>319.07396279274258</v>
      </c>
      <c r="AP7" s="89">
        <v>7983.1327205765519</v>
      </c>
      <c r="AQ7" s="5">
        <f t="shared" si="7"/>
        <v>0.31907396279274258</v>
      </c>
      <c r="AR7" s="41">
        <f t="shared" si="8"/>
        <v>7.9831327205765525</v>
      </c>
      <c r="AT7" s="54">
        <v>0</v>
      </c>
      <c r="AU7" s="54">
        <v>0</v>
      </c>
      <c r="AW7" s="54">
        <v>300</v>
      </c>
      <c r="AX7" s="54">
        <v>28.50632319353485</v>
      </c>
      <c r="AY7" s="54">
        <v>9.5999877445270645</v>
      </c>
      <c r="AZ7" s="54">
        <v>4.6647289752089263</v>
      </c>
      <c r="BA7" s="54">
        <v>0</v>
      </c>
      <c r="BB7" s="54">
        <v>0</v>
      </c>
      <c r="BD7" s="54">
        <f t="shared" si="10"/>
        <v>-4605.8365921311333</v>
      </c>
      <c r="BE7" s="54">
        <f t="shared" si="11"/>
        <v>-4605.8365921311333</v>
      </c>
      <c r="BF7" s="54">
        <f t="shared" si="12"/>
        <v>-32.527094577197268</v>
      </c>
      <c r="BG7" s="54">
        <f t="shared" si="13"/>
        <v>-32.527094577197268</v>
      </c>
    </row>
    <row r="8" spans="2:62" x14ac:dyDescent="0.25">
      <c r="B8" s="93">
        <v>527.47252747252742</v>
      </c>
      <c r="C8" s="95">
        <v>1227.1107385244657</v>
      </c>
      <c r="D8" s="95">
        <v>79.488886605011785</v>
      </c>
      <c r="E8" s="95">
        <v>3426.519741723801</v>
      </c>
      <c r="F8" s="94">
        <v>397.69582355210861</v>
      </c>
      <c r="H8" s="92">
        <f t="shared" si="0"/>
        <v>527.47252747252742</v>
      </c>
      <c r="I8" s="54">
        <f t="shared" si="9"/>
        <v>8.6660362890145883</v>
      </c>
      <c r="J8" s="64">
        <f t="shared" si="1"/>
        <v>24.198585746637015</v>
      </c>
      <c r="K8" s="2">
        <f t="shared" si="2"/>
        <v>79.488886605011785</v>
      </c>
      <c r="L8" s="64">
        <f t="shared" si="3"/>
        <v>397.69582355210861</v>
      </c>
      <c r="M8" s="56"/>
      <c r="N8" s="91">
        <v>478.68406050656313</v>
      </c>
      <c r="O8" s="90">
        <v>1336.6522937828133</v>
      </c>
      <c r="P8" s="54">
        <f t="shared" si="4"/>
        <v>0.47868406050656315</v>
      </c>
      <c r="Q8" s="54">
        <f t="shared" si="5"/>
        <v>1.3366522937828134</v>
      </c>
      <c r="R8" s="90">
        <v>0.59889748405170307</v>
      </c>
      <c r="S8" s="89">
        <v>0.14339722774275176</v>
      </c>
      <c r="T8" s="88">
        <v>1.6756848924429091</v>
      </c>
      <c r="U8" s="87">
        <f t="shared" si="6"/>
        <v>1.6756848924429091E-3</v>
      </c>
      <c r="W8" s="108"/>
      <c r="X8" s="117">
        <v>16</v>
      </c>
      <c r="Y8" s="109" t="s">
        <v>253</v>
      </c>
      <c r="Z8" s="21"/>
      <c r="AA8" s="56"/>
      <c r="AB8" s="99"/>
      <c r="AD8" s="115">
        <v>0.70710700000000004</v>
      </c>
      <c r="AE8" s="115" t="s">
        <v>252</v>
      </c>
      <c r="AJ8" s="115">
        <v>1E-3</v>
      </c>
      <c r="AK8" s="116" t="s">
        <v>251</v>
      </c>
      <c r="AL8" s="116"/>
      <c r="AO8" s="91">
        <v>318.91539961376753</v>
      </c>
      <c r="AP8" s="89">
        <v>7982.9741573975798</v>
      </c>
      <c r="AQ8" s="5">
        <f t="shared" si="7"/>
        <v>0.31891539961376753</v>
      </c>
      <c r="AR8" s="41">
        <f t="shared" si="8"/>
        <v>7.9829741573975799</v>
      </c>
      <c r="AT8" s="54">
        <v>0</v>
      </c>
      <c r="AU8" s="54">
        <v>0</v>
      </c>
      <c r="AW8" s="54">
        <v>300</v>
      </c>
      <c r="AX8" s="54">
        <v>32.657567780926705</v>
      </c>
      <c r="AY8" s="54">
        <v>12.171602785075873</v>
      </c>
      <c r="AZ8" s="54">
        <v>6.997093462813389</v>
      </c>
      <c r="BA8" s="54">
        <v>0</v>
      </c>
      <c r="BB8" s="54">
        <v>0</v>
      </c>
      <c r="BD8" s="54">
        <f t="shared" si="10"/>
        <v>-3836.6116005168342</v>
      </c>
      <c r="BE8" s="54">
        <f t="shared" si="11"/>
        <v>-3836.6116005168342</v>
      </c>
      <c r="BF8" s="54">
        <f t="shared" si="12"/>
        <v>-27.094714692915495</v>
      </c>
      <c r="BG8" s="54">
        <f t="shared" si="13"/>
        <v>-27.094714692915495</v>
      </c>
    </row>
    <row r="9" spans="2:62" x14ac:dyDescent="0.25">
      <c r="B9" s="93">
        <v>703.29670329670319</v>
      </c>
      <c r="C9" s="95">
        <v>1226.4939683303021</v>
      </c>
      <c r="D9" s="95">
        <v>79.466825254025011</v>
      </c>
      <c r="E9" s="95">
        <v>3426.2221578703011</v>
      </c>
      <c r="F9" s="94">
        <v>397.69141465845001</v>
      </c>
      <c r="H9" s="92">
        <f t="shared" si="0"/>
        <v>703.29670329670319</v>
      </c>
      <c r="I9" s="54">
        <f t="shared" si="9"/>
        <v>8.6616805673043942</v>
      </c>
      <c r="J9" s="64">
        <f t="shared" si="1"/>
        <v>24.196484165750714</v>
      </c>
      <c r="K9" s="2">
        <f t="shared" si="2"/>
        <v>79.466825254025011</v>
      </c>
      <c r="L9" s="64">
        <f t="shared" si="3"/>
        <v>397.69141465845001</v>
      </c>
      <c r="M9" s="56"/>
      <c r="N9" s="91">
        <v>637.92461920550795</v>
      </c>
      <c r="O9" s="90">
        <v>1782.0482789233508</v>
      </c>
      <c r="P9" s="54">
        <f t="shared" si="4"/>
        <v>0.63792461920550791</v>
      </c>
      <c r="Q9" s="54">
        <f t="shared" si="5"/>
        <v>1.7820482789233509</v>
      </c>
      <c r="R9" s="90">
        <v>0.66516675193071484</v>
      </c>
      <c r="S9" s="89">
        <v>0.18245122785188467</v>
      </c>
      <c r="T9" s="88">
        <v>2.3812209082231259</v>
      </c>
      <c r="U9" s="87">
        <f t="shared" si="6"/>
        <v>2.3812209082231259E-3</v>
      </c>
      <c r="W9" s="108"/>
      <c r="X9" s="114">
        <f>12*16</f>
        <v>192</v>
      </c>
      <c r="Y9" s="113" t="s">
        <v>250</v>
      </c>
      <c r="Z9" s="21"/>
      <c r="AA9" s="56"/>
      <c r="AB9" s="99"/>
      <c r="AD9" s="115">
        <v>0.81649700000000003</v>
      </c>
      <c r="AE9" s="115" t="s">
        <v>249</v>
      </c>
      <c r="AJ9" s="116">
        <v>1.34E-3</v>
      </c>
      <c r="AK9" s="116" t="s">
        <v>248</v>
      </c>
      <c r="AL9" s="115"/>
      <c r="AO9" s="91">
        <v>318.73840057600364</v>
      </c>
      <c r="AP9" s="89">
        <v>7982.7971583598155</v>
      </c>
      <c r="AQ9" s="5">
        <f t="shared" si="7"/>
        <v>0.31873840057600367</v>
      </c>
      <c r="AR9" s="41">
        <f t="shared" si="8"/>
        <v>7.9827971583598156</v>
      </c>
      <c r="AT9" s="54">
        <v>0</v>
      </c>
      <c r="AU9" s="54">
        <v>0</v>
      </c>
      <c r="AW9" s="54">
        <v>300</v>
      </c>
      <c r="AX9" s="54">
        <v>37.388568392246675</v>
      </c>
      <c r="AY9" s="54">
        <v>14.761300481923374</v>
      </c>
      <c r="AZ9" s="54">
        <v>9.3294579504178525</v>
      </c>
      <c r="BA9" s="54">
        <v>0</v>
      </c>
      <c r="BB9" s="54">
        <v>0</v>
      </c>
      <c r="BD9" s="54">
        <f t="shared" si="10"/>
        <v>-3287.3634101625062</v>
      </c>
      <c r="BE9" s="54">
        <f t="shared" si="11"/>
        <v>-3287.3634101625062</v>
      </c>
      <c r="BF9" s="54">
        <f t="shared" si="12"/>
        <v>-23.215843292108094</v>
      </c>
      <c r="BG9" s="54">
        <f t="shared" si="13"/>
        <v>-23.215843292108094</v>
      </c>
    </row>
    <row r="10" spans="2:62" ht="13.8" thickBot="1" x14ac:dyDescent="0.3">
      <c r="B10" s="93">
        <v>879.12087912087884</v>
      </c>
      <c r="C10" s="95">
        <v>1225.8422690206812</v>
      </c>
      <c r="D10" s="95">
        <v>79.442458920809699</v>
      </c>
      <c r="E10" s="95">
        <v>3425.9230108009506</v>
      </c>
      <c r="F10" s="94">
        <v>397.68654648663937</v>
      </c>
      <c r="H10" s="92">
        <f t="shared" si="0"/>
        <v>879.12087912087884</v>
      </c>
      <c r="I10" s="54">
        <f t="shared" si="9"/>
        <v>8.6570781710500082</v>
      </c>
      <c r="J10" s="64">
        <f t="shared" si="1"/>
        <v>24.194371545204454</v>
      </c>
      <c r="K10" s="2">
        <f t="shared" si="2"/>
        <v>79.442458920809699</v>
      </c>
      <c r="L10" s="64">
        <f t="shared" si="3"/>
        <v>397.68654648663937</v>
      </c>
      <c r="M10" s="56"/>
      <c r="N10" s="91">
        <v>796.98207131789786</v>
      </c>
      <c r="O10" s="90">
        <v>2227.3658580113179</v>
      </c>
      <c r="P10" s="54">
        <f t="shared" si="4"/>
        <v>0.79698207131789789</v>
      </c>
      <c r="Q10" s="54">
        <f t="shared" si="5"/>
        <v>2.2273658580113178</v>
      </c>
      <c r="R10" s="90">
        <v>0.71242709182534114</v>
      </c>
      <c r="S10" s="89">
        <v>0.21808766679800512</v>
      </c>
      <c r="T10" s="88">
        <v>3.1602441164863002</v>
      </c>
      <c r="U10" s="87">
        <f t="shared" si="6"/>
        <v>3.1602441164863002E-3</v>
      </c>
      <c r="W10" s="108"/>
      <c r="X10" s="114">
        <v>141.6</v>
      </c>
      <c r="Y10" s="113" t="s">
        <v>247</v>
      </c>
      <c r="Z10" s="21"/>
      <c r="AA10" s="56"/>
      <c r="AB10" s="99"/>
      <c r="AO10" s="91">
        <v>318.54296567945079</v>
      </c>
      <c r="AP10" s="89">
        <v>7982.60172346326</v>
      </c>
      <c r="AQ10" s="5">
        <f t="shared" si="7"/>
        <v>0.31854296567945078</v>
      </c>
      <c r="AR10" s="41">
        <f t="shared" si="8"/>
        <v>7.9826017234632598</v>
      </c>
      <c r="AT10" s="54">
        <v>0</v>
      </c>
      <c r="AU10" s="54">
        <v>0</v>
      </c>
      <c r="AW10" s="54">
        <v>300</v>
      </c>
      <c r="AX10" s="54">
        <v>42.50610282015483</v>
      </c>
      <c r="AY10" s="54">
        <v>17.360759459650978</v>
      </c>
      <c r="AZ10" s="54">
        <v>11.661822438022314</v>
      </c>
      <c r="BA10" s="54">
        <v>0</v>
      </c>
      <c r="BB10" s="54">
        <v>0</v>
      </c>
      <c r="BD10" s="54">
        <f t="shared" si="10"/>
        <v>-2875.535314665477</v>
      </c>
      <c r="BE10" s="54">
        <f t="shared" si="11"/>
        <v>-2875.535314665477</v>
      </c>
      <c r="BF10" s="54">
        <f t="shared" si="12"/>
        <v>-20.307452787185571</v>
      </c>
      <c r="BG10" s="54">
        <f t="shared" si="13"/>
        <v>-20.307452787185571</v>
      </c>
    </row>
    <row r="11" spans="2:62" x14ac:dyDescent="0.25">
      <c r="B11" s="93">
        <v>1054.9450549450548</v>
      </c>
      <c r="C11" s="95">
        <v>1225.1556047342033</v>
      </c>
      <c r="D11" s="95">
        <v>79.415785483723496</v>
      </c>
      <c r="E11" s="95">
        <v>3425.6223004583403</v>
      </c>
      <c r="F11" s="94">
        <v>397.68121901981021</v>
      </c>
      <c r="H11" s="92">
        <f t="shared" si="0"/>
        <v>1054.9450549450548</v>
      </c>
      <c r="I11" s="54">
        <f t="shared" si="9"/>
        <v>8.652228846992962</v>
      </c>
      <c r="J11" s="64">
        <f t="shared" si="1"/>
        <v>24.192247884592799</v>
      </c>
      <c r="K11" s="2">
        <f t="shared" si="2"/>
        <v>79.415785483723496</v>
      </c>
      <c r="L11" s="64">
        <f t="shared" si="3"/>
        <v>397.68121901981021</v>
      </c>
      <c r="M11" s="56"/>
      <c r="N11" s="91">
        <v>955.84276335440052</v>
      </c>
      <c r="O11" s="90">
        <v>2672.6044212065035</v>
      </c>
      <c r="P11" s="54">
        <f t="shared" si="4"/>
        <v>0.95584276335440055</v>
      </c>
      <c r="Q11" s="54">
        <f t="shared" si="5"/>
        <v>2.6726044212065037</v>
      </c>
      <c r="R11" s="90">
        <v>0.74781239638783237</v>
      </c>
      <c r="S11" s="89">
        <v>0.25073564504628199</v>
      </c>
      <c r="T11" s="88">
        <v>4.0127545172324313</v>
      </c>
      <c r="U11" s="87">
        <f t="shared" si="6"/>
        <v>4.0127545172324317E-3</v>
      </c>
      <c r="W11" s="108"/>
      <c r="X11" s="112">
        <v>1</v>
      </c>
      <c r="Y11" s="111" t="s">
        <v>172</v>
      </c>
      <c r="Z11" s="21"/>
      <c r="AA11" s="56"/>
      <c r="AB11" s="99"/>
      <c r="AO11" s="91">
        <v>318.32909492410892</v>
      </c>
      <c r="AP11" s="89">
        <v>7982.3878527079187</v>
      </c>
      <c r="AQ11" s="5">
        <f t="shared" si="7"/>
        <v>0.31832909492410894</v>
      </c>
      <c r="AR11" s="41">
        <f t="shared" si="8"/>
        <v>7.9823878527079186</v>
      </c>
      <c r="AT11" s="54">
        <v>0</v>
      </c>
      <c r="AU11" s="54">
        <v>0</v>
      </c>
      <c r="AW11" s="54">
        <v>300</v>
      </c>
      <c r="AX11" s="54">
        <v>47.886326879645338</v>
      </c>
      <c r="AY11" s="54">
        <v>19.965942714316636</v>
      </c>
      <c r="AZ11" s="54">
        <v>13.994186925626778</v>
      </c>
      <c r="BA11" s="54">
        <v>0</v>
      </c>
      <c r="BB11" s="54">
        <v>0</v>
      </c>
      <c r="BD11" s="54">
        <f t="shared" si="10"/>
        <v>-2555.288312617</v>
      </c>
      <c r="BE11" s="54">
        <f t="shared" si="11"/>
        <v>-2555.288312617</v>
      </c>
      <c r="BF11" s="54">
        <f t="shared" si="12"/>
        <v>-18.045821416786723</v>
      </c>
      <c r="BG11" s="54">
        <f t="shared" si="13"/>
        <v>-18.045821416786723</v>
      </c>
    </row>
    <row r="12" spans="2:62" x14ac:dyDescent="0.25">
      <c r="B12" s="93">
        <v>1230.7692307692305</v>
      </c>
      <c r="C12" s="95">
        <v>1224.4339361634886</v>
      </c>
      <c r="D12" s="95">
        <v>79.386802617251831</v>
      </c>
      <c r="E12" s="95">
        <v>3425.3200267796456</v>
      </c>
      <c r="F12" s="94">
        <v>397.67543223950361</v>
      </c>
      <c r="H12" s="92">
        <f t="shared" si="0"/>
        <v>1230.7692307692305</v>
      </c>
      <c r="I12" s="54">
        <f t="shared" si="9"/>
        <v>8.6471323175387624</v>
      </c>
      <c r="J12" s="64">
        <f t="shared" si="1"/>
        <v>24.190113183472075</v>
      </c>
      <c r="K12" s="2">
        <f t="shared" si="2"/>
        <v>79.386802617251831</v>
      </c>
      <c r="L12" s="64">
        <f t="shared" si="3"/>
        <v>397.67543223950361</v>
      </c>
      <c r="M12" s="56"/>
      <c r="N12" s="91">
        <v>1114.4930200368678</v>
      </c>
      <c r="O12" s="90">
        <v>3117.7633586339061</v>
      </c>
      <c r="P12" s="54">
        <f t="shared" si="4"/>
        <v>1.1144930200368679</v>
      </c>
      <c r="Q12" s="54">
        <f t="shared" si="5"/>
        <v>3.1177633586339062</v>
      </c>
      <c r="R12" s="90">
        <v>0.77528369819948595</v>
      </c>
      <c r="S12" s="89">
        <v>0.28075531299108414</v>
      </c>
      <c r="T12" s="88">
        <v>4.9387521104615191</v>
      </c>
      <c r="U12" s="87">
        <f t="shared" si="6"/>
        <v>4.9387521104615195E-3</v>
      </c>
      <c r="W12" s="108"/>
      <c r="X12" s="110">
        <v>1.6666666666666666E-2</v>
      </c>
      <c r="Y12" s="109" t="s">
        <v>246</v>
      </c>
      <c r="Z12" s="21"/>
      <c r="AA12" s="56"/>
      <c r="AB12" s="99"/>
      <c r="AO12" s="91">
        <v>318.09678830997808</v>
      </c>
      <c r="AP12" s="89">
        <v>7982.1555460937916</v>
      </c>
      <c r="AQ12" s="5">
        <f t="shared" si="7"/>
        <v>0.31809678830997806</v>
      </c>
      <c r="AR12" s="41">
        <f t="shared" si="8"/>
        <v>7.9821555460937921</v>
      </c>
      <c r="AT12" s="54">
        <v>0</v>
      </c>
      <c r="AU12" s="54">
        <v>0</v>
      </c>
      <c r="AW12" s="54">
        <v>300</v>
      </c>
      <c r="AX12" s="54">
        <v>53.449892422294035</v>
      </c>
      <c r="AY12" s="54">
        <v>22.574648693740741</v>
      </c>
      <c r="AZ12" s="54">
        <v>16.326551413231243</v>
      </c>
      <c r="BA12" s="54">
        <v>0</v>
      </c>
      <c r="BB12" s="54">
        <v>0</v>
      </c>
      <c r="BD12" s="54">
        <f t="shared" si="10"/>
        <v>-2299.1306217751462</v>
      </c>
      <c r="BE12" s="54">
        <f t="shared" si="11"/>
        <v>-2299.1306217751462</v>
      </c>
      <c r="BF12" s="54">
        <f t="shared" si="12"/>
        <v>-16.236798176378151</v>
      </c>
      <c r="BG12" s="54">
        <f t="shared" si="13"/>
        <v>-16.236798176378151</v>
      </c>
    </row>
    <row r="13" spans="2:62" ht="13.8" thickBot="1" x14ac:dyDescent="0.3">
      <c r="B13" s="93">
        <v>1406.5934065934064</v>
      </c>
      <c r="C13" s="95">
        <v>1223.677220537945</v>
      </c>
      <c r="D13" s="95">
        <v>79.355507790988796</v>
      </c>
      <c r="E13" s="95">
        <v>3425.0161896966165</v>
      </c>
      <c r="F13" s="94">
        <v>397.66918612566798</v>
      </c>
      <c r="H13" s="92">
        <f t="shared" si="0"/>
        <v>1406.5934065934064</v>
      </c>
      <c r="I13" s="54">
        <f t="shared" si="9"/>
        <v>8.6417882806352058</v>
      </c>
      <c r="J13" s="64">
        <f t="shared" si="1"/>
        <v>24.187967441360286</v>
      </c>
      <c r="K13" s="2">
        <f t="shared" si="2"/>
        <v>79.355507790988796</v>
      </c>
      <c r="L13" s="64">
        <f t="shared" si="3"/>
        <v>397.66918612566798</v>
      </c>
      <c r="M13" s="56"/>
      <c r="N13" s="91">
        <v>1272.9191420400023</v>
      </c>
      <c r="O13" s="90">
        <v>3562.8420603802056</v>
      </c>
      <c r="P13" s="54">
        <f t="shared" si="4"/>
        <v>1.2729191420400023</v>
      </c>
      <c r="Q13" s="54">
        <f t="shared" si="5"/>
        <v>3.5628420603802056</v>
      </c>
      <c r="R13" s="90">
        <v>0.79721660507006908</v>
      </c>
      <c r="S13" s="89">
        <v>0.30845118516910969</v>
      </c>
      <c r="T13" s="88">
        <v>5.9382368961735637</v>
      </c>
      <c r="U13" s="87">
        <f t="shared" si="6"/>
        <v>5.9382368961735637E-3</v>
      </c>
      <c r="W13" s="108"/>
      <c r="X13" s="107">
        <f>PI()/30</f>
        <v>0.10471975511965977</v>
      </c>
      <c r="Y13" s="106" t="s">
        <v>245</v>
      </c>
      <c r="Z13" s="21"/>
      <c r="AA13" s="56"/>
      <c r="AB13" s="99"/>
      <c r="AO13" s="91">
        <v>317.84604583705845</v>
      </c>
      <c r="AP13" s="89">
        <v>7981.9048036208687</v>
      </c>
      <c r="AQ13" s="5">
        <f t="shared" si="7"/>
        <v>0.31784604583705844</v>
      </c>
      <c r="AR13" s="41">
        <f t="shared" si="8"/>
        <v>7.9819048036208686</v>
      </c>
      <c r="AT13" s="54">
        <v>0</v>
      </c>
      <c r="AU13" s="54">
        <v>0</v>
      </c>
      <c r="AW13" s="54">
        <v>300</v>
      </c>
      <c r="AX13" s="54">
        <v>59.145001905254972</v>
      </c>
      <c r="AY13" s="54">
        <v>25.1855668541466</v>
      </c>
      <c r="AZ13" s="54">
        <v>18.658915900835705</v>
      </c>
      <c r="BA13" s="54">
        <v>0</v>
      </c>
      <c r="BB13" s="54">
        <v>0</v>
      </c>
      <c r="BD13" s="54">
        <f t="shared" si="10"/>
        <v>-2089.5732300583099</v>
      </c>
      <c r="BE13" s="54">
        <f t="shared" si="11"/>
        <v>-2089.5732300583099</v>
      </c>
      <c r="BF13" s="54">
        <f t="shared" si="12"/>
        <v>-14.756873093632134</v>
      </c>
      <c r="BG13" s="54">
        <f t="shared" si="13"/>
        <v>-14.756873093632134</v>
      </c>
    </row>
    <row r="14" spans="2:62" x14ac:dyDescent="0.25">
      <c r="B14" s="93">
        <v>1582.4175824175823</v>
      </c>
      <c r="C14" s="95">
        <v>1222.8854116049877</v>
      </c>
      <c r="D14" s="95">
        <v>79.321898268525615</v>
      </c>
      <c r="E14" s="95">
        <v>3424.7107891355845</v>
      </c>
      <c r="F14" s="94">
        <v>397.66248065665917</v>
      </c>
      <c r="H14" s="92">
        <f t="shared" si="0"/>
        <v>1582.4175824175823</v>
      </c>
      <c r="I14" s="54">
        <f t="shared" si="9"/>
        <v>8.6361964096397443</v>
      </c>
      <c r="J14" s="64">
        <f t="shared" si="1"/>
        <v>24.185810657737179</v>
      </c>
      <c r="K14" s="2">
        <f t="shared" si="2"/>
        <v>79.321898268525615</v>
      </c>
      <c r="L14" s="64">
        <f t="shared" si="3"/>
        <v>397.66248065665917</v>
      </c>
      <c r="M14" s="56"/>
      <c r="N14" s="91">
        <v>1431.1074037177721</v>
      </c>
      <c r="O14" s="90">
        <v>4007.8399164902416</v>
      </c>
      <c r="P14" s="54">
        <f t="shared" si="4"/>
        <v>1.431107403717772</v>
      </c>
      <c r="Q14" s="54">
        <f t="shared" si="5"/>
        <v>4.0078399164902416</v>
      </c>
      <c r="R14" s="90">
        <v>0.81512236273718353</v>
      </c>
      <c r="S14" s="89">
        <v>0.33408248403163499</v>
      </c>
      <c r="T14" s="88">
        <v>7.011208874368565</v>
      </c>
      <c r="U14" s="87">
        <f t="shared" si="6"/>
        <v>7.0112088743685651E-3</v>
      </c>
      <c r="W14" s="101"/>
      <c r="X14" s="56"/>
      <c r="Y14" s="56"/>
      <c r="Z14" s="56"/>
      <c r="AA14" s="56"/>
      <c r="AB14" s="99"/>
      <c r="AO14" s="91">
        <v>317.5768675053497</v>
      </c>
      <c r="AP14" s="89">
        <v>7981.6356252891619</v>
      </c>
      <c r="AQ14" s="5">
        <f t="shared" si="7"/>
        <v>0.31757686750534969</v>
      </c>
      <c r="AR14" s="41">
        <f t="shared" si="8"/>
        <v>7.9816356252891625</v>
      </c>
      <c r="AT14" s="54">
        <v>0</v>
      </c>
      <c r="AU14" s="54">
        <v>0</v>
      </c>
      <c r="AW14" s="54">
        <v>300</v>
      </c>
      <c r="AX14" s="54">
        <v>64.936972782846823</v>
      </c>
      <c r="AY14" s="54">
        <v>27.797861126252119</v>
      </c>
      <c r="AZ14" s="54">
        <v>20.991280388440167</v>
      </c>
      <c r="BA14" s="54">
        <v>0</v>
      </c>
      <c r="BB14" s="54">
        <v>0</v>
      </c>
      <c r="BD14" s="54">
        <f t="shared" si="10"/>
        <v>-1914.9598739764353</v>
      </c>
      <c r="BE14" s="54">
        <f t="shared" si="11"/>
        <v>-1914.9598739764353</v>
      </c>
      <c r="BF14" s="54">
        <f t="shared" si="12"/>
        <v>-13.523727923562397</v>
      </c>
      <c r="BG14" s="54">
        <f t="shared" si="13"/>
        <v>-13.523727923562397</v>
      </c>
    </row>
    <row r="15" spans="2:62" x14ac:dyDescent="0.25">
      <c r="B15" s="93">
        <v>1758.2417582417577</v>
      </c>
      <c r="C15" s="95">
        <v>1222.0584596096667</v>
      </c>
      <c r="D15" s="95">
        <v>79.285971106245725</v>
      </c>
      <c r="E15" s="95">
        <v>3424.4038250174576</v>
      </c>
      <c r="F15" s="94">
        <v>397.65531580923937</v>
      </c>
      <c r="H15" s="92">
        <f t="shared" si="0"/>
        <v>1758.2417582417577</v>
      </c>
      <c r="I15" s="54">
        <f t="shared" si="9"/>
        <v>8.6303563531756122</v>
      </c>
      <c r="J15" s="64">
        <f t="shared" si="1"/>
        <v>24.183642832044193</v>
      </c>
      <c r="K15" s="2">
        <f t="shared" si="2"/>
        <v>79.285971106245725</v>
      </c>
      <c r="L15" s="64">
        <f t="shared" si="3"/>
        <v>397.65531580923937</v>
      </c>
      <c r="M15" s="56"/>
      <c r="N15" s="91">
        <v>1589.0440508130987</v>
      </c>
      <c r="O15" s="90">
        <v>4452.7563169634859</v>
      </c>
      <c r="P15" s="54">
        <f t="shared" si="4"/>
        <v>1.5890440508130987</v>
      </c>
      <c r="Q15" s="54">
        <f t="shared" si="5"/>
        <v>4.4527563169634856</v>
      </c>
      <c r="R15" s="90">
        <v>0.83000819583998775</v>
      </c>
      <c r="S15" s="89">
        <v>0.35787125872391606</v>
      </c>
      <c r="T15" s="88">
        <v>8.1576680450465222</v>
      </c>
      <c r="U15" s="87">
        <f t="shared" si="6"/>
        <v>8.1576680450465219E-3</v>
      </c>
      <c r="W15" s="101"/>
      <c r="X15" s="56"/>
      <c r="Y15" s="56"/>
      <c r="Z15" s="56"/>
      <c r="AA15" s="56"/>
      <c r="AB15" s="99"/>
      <c r="AO15" s="91">
        <v>317.28925331485198</v>
      </c>
      <c r="AP15" s="89">
        <v>7981.3480110986629</v>
      </c>
      <c r="AQ15" s="5">
        <f t="shared" si="7"/>
        <v>0.31728925331485197</v>
      </c>
      <c r="AR15" s="41">
        <f t="shared" si="8"/>
        <v>7.981348011098663</v>
      </c>
      <c r="AT15" s="54">
        <v>0</v>
      </c>
      <c r="AU15" s="54">
        <v>0</v>
      </c>
      <c r="AW15" s="54">
        <v>300</v>
      </c>
      <c r="AX15" s="54">
        <v>70.801955719238137</v>
      </c>
      <c r="AY15" s="54">
        <v>30.410966782952851</v>
      </c>
      <c r="AZ15" s="54">
        <v>23.323644876044629</v>
      </c>
      <c r="BA15" s="54">
        <v>0</v>
      </c>
      <c r="BB15" s="54">
        <v>0</v>
      </c>
      <c r="BD15" s="54">
        <f t="shared" si="10"/>
        <v>-1767.2225804074069</v>
      </c>
      <c r="BE15" s="54">
        <f t="shared" si="11"/>
        <v>-1767.2225804074069</v>
      </c>
      <c r="BF15" s="54">
        <f t="shared" si="12"/>
        <v>-12.480385454854568</v>
      </c>
      <c r="BG15" s="54">
        <f t="shared" si="13"/>
        <v>-12.480385454854568</v>
      </c>
    </row>
    <row r="16" spans="2:62" x14ac:dyDescent="0.25">
      <c r="B16" s="93">
        <v>1934.0659340659338</v>
      </c>
      <c r="C16" s="95">
        <v>1221.1963112727001</v>
      </c>
      <c r="D16" s="95">
        <v>79.247723152025003</v>
      </c>
      <c r="E16" s="95">
        <v>3424.0952972577174</v>
      </c>
      <c r="F16" s="94">
        <v>397.64769155857738</v>
      </c>
      <c r="H16" s="92">
        <f t="shared" si="0"/>
        <v>1934.0659340659338</v>
      </c>
      <c r="I16" s="54">
        <f t="shared" si="9"/>
        <v>8.6242677349766961</v>
      </c>
      <c r="J16" s="64">
        <f t="shared" si="1"/>
        <v>24.181463963684447</v>
      </c>
      <c r="K16" s="2">
        <f t="shared" si="2"/>
        <v>79.247723152025003</v>
      </c>
      <c r="L16" s="64">
        <f t="shared" si="3"/>
        <v>397.64769155857738</v>
      </c>
      <c r="M16" s="56"/>
      <c r="N16" s="91">
        <v>1746.7152981493741</v>
      </c>
      <c r="O16" s="90">
        <v>4897.5906517505118</v>
      </c>
      <c r="P16" s="54">
        <f t="shared" si="4"/>
        <v>1.7467152981493741</v>
      </c>
      <c r="Q16" s="54">
        <f t="shared" si="5"/>
        <v>4.8975906517505123</v>
      </c>
      <c r="R16" s="90">
        <v>0.84257125661109833</v>
      </c>
      <c r="S16" s="89">
        <v>0.38000881792029767</v>
      </c>
      <c r="T16" s="88">
        <v>9.3776144082074406</v>
      </c>
      <c r="U16" s="87">
        <f t="shared" si="6"/>
        <v>9.3776144082074412E-3</v>
      </c>
      <c r="W16" s="105" t="s">
        <v>244</v>
      </c>
      <c r="X16" s="56"/>
      <c r="Y16" s="56"/>
      <c r="Z16" s="56"/>
      <c r="AA16" s="56"/>
      <c r="AB16" s="99"/>
      <c r="AO16" s="91">
        <v>316.98320326556518</v>
      </c>
      <c r="AP16" s="89">
        <v>7981.0419610493764</v>
      </c>
      <c r="AQ16" s="5">
        <f t="shared" si="7"/>
        <v>0.31698320326556517</v>
      </c>
      <c r="AR16" s="41">
        <f t="shared" si="8"/>
        <v>7.9810419610493764</v>
      </c>
      <c r="AT16" s="54">
        <v>0</v>
      </c>
      <c r="AU16" s="54">
        <v>0</v>
      </c>
      <c r="AW16" s="54">
        <v>300</v>
      </c>
      <c r="AX16" s="54">
        <v>76.723126450438343</v>
      </c>
      <c r="AY16" s="54">
        <v>33.02448331919279</v>
      </c>
      <c r="AZ16" s="54">
        <v>25.656009363649094</v>
      </c>
      <c r="BA16" s="54">
        <v>0</v>
      </c>
      <c r="BB16" s="54">
        <v>0</v>
      </c>
      <c r="BD16" s="54">
        <f t="shared" si="10"/>
        <v>-1640.5995543493577</v>
      </c>
      <c r="BE16" s="54">
        <f t="shared" si="11"/>
        <v>-1640.5995543493577</v>
      </c>
      <c r="BF16" s="54">
        <f t="shared" si="12"/>
        <v>-11.586155044840098</v>
      </c>
      <c r="BG16" s="54">
        <f t="shared" si="13"/>
        <v>-11.586155044840098</v>
      </c>
    </row>
    <row r="17" spans="2:59" ht="13.8" thickBot="1" x14ac:dyDescent="0.3">
      <c r="B17" s="93">
        <v>2109.8901098901097</v>
      </c>
      <c r="C17" s="95">
        <v>1220.2989097668813</v>
      </c>
      <c r="D17" s="95">
        <v>79.207151043835907</v>
      </c>
      <c r="E17" s="95">
        <v>3423.7852057664222</v>
      </c>
      <c r="F17" s="94">
        <v>397.63960787824766</v>
      </c>
      <c r="H17" s="92">
        <f t="shared" si="0"/>
        <v>2109.8901098901097</v>
      </c>
      <c r="I17" s="54">
        <f t="shared" si="9"/>
        <v>8.6179301537209128</v>
      </c>
      <c r="J17" s="64">
        <f t="shared" si="1"/>
        <v>24.179274052022755</v>
      </c>
      <c r="K17" s="2">
        <f t="shared" si="2"/>
        <v>79.207151043835907</v>
      </c>
      <c r="L17" s="64">
        <f t="shared" si="3"/>
        <v>397.63960787824766</v>
      </c>
      <c r="M17" s="56"/>
      <c r="N17" s="91">
        <v>1904.1073273022996</v>
      </c>
      <c r="O17" s="90">
        <v>5342.3423107494673</v>
      </c>
      <c r="P17" s="54">
        <f t="shared" si="4"/>
        <v>1.9041073273022997</v>
      </c>
      <c r="Q17" s="54">
        <f t="shared" si="5"/>
        <v>5.3423423107494674</v>
      </c>
      <c r="R17" s="90">
        <v>0.85330941507897695</v>
      </c>
      <c r="S17" s="89">
        <v>0.40066087150474633</v>
      </c>
      <c r="T17" s="88">
        <v>10.671047963851313</v>
      </c>
      <c r="U17" s="87">
        <f t="shared" si="6"/>
        <v>1.0671047963851314E-2</v>
      </c>
      <c r="W17" s="98"/>
      <c r="X17" s="97"/>
      <c r="Y17" s="97"/>
      <c r="Z17" s="97"/>
      <c r="AA17" s="97"/>
      <c r="AB17" s="96"/>
      <c r="AO17" s="91">
        <v>316.65871735748965</v>
      </c>
      <c r="AP17" s="89">
        <v>7980.7174751413022</v>
      </c>
      <c r="AQ17" s="5">
        <f t="shared" si="7"/>
        <v>0.31665871735748968</v>
      </c>
      <c r="AR17" s="41">
        <f t="shared" si="8"/>
        <v>7.9807174751413026</v>
      </c>
      <c r="AT17" s="54">
        <v>0</v>
      </c>
      <c r="AU17" s="54">
        <v>0</v>
      </c>
      <c r="AW17" s="54">
        <v>300</v>
      </c>
      <c r="AX17" s="54">
        <v>82.688333004513495</v>
      </c>
      <c r="AY17" s="54">
        <v>35.638114311271373</v>
      </c>
      <c r="AZ17" s="54">
        <v>27.988373851253556</v>
      </c>
      <c r="BA17" s="54">
        <v>0</v>
      </c>
      <c r="BB17" s="54">
        <v>0</v>
      </c>
      <c r="BD17" s="54">
        <f t="shared" si="10"/>
        <v>-1530.8661281798823</v>
      </c>
      <c r="BE17" s="54">
        <f t="shared" si="11"/>
        <v>-1530.8661281798823</v>
      </c>
      <c r="BF17" s="54">
        <f t="shared" si="12"/>
        <v>-10.811201470196909</v>
      </c>
      <c r="BG17" s="54">
        <f t="shared" si="13"/>
        <v>-10.811201470196909</v>
      </c>
    </row>
    <row r="18" spans="2:59" x14ac:dyDescent="0.25">
      <c r="B18" s="93">
        <v>2285.7142857142853</v>
      </c>
      <c r="C18" s="95">
        <v>1219.3661946918303</v>
      </c>
      <c r="D18" s="95">
        <v>79.16425120825393</v>
      </c>
      <c r="E18" s="95">
        <v>3423.4735504482014</v>
      </c>
      <c r="F18" s="94">
        <v>397.63106474023004</v>
      </c>
      <c r="H18" s="92">
        <f t="shared" si="0"/>
        <v>2285.7142857142853</v>
      </c>
      <c r="I18" s="54">
        <f t="shared" si="9"/>
        <v>8.6113431828519094</v>
      </c>
      <c r="J18" s="64">
        <f t="shared" si="1"/>
        <v>24.177073096385605</v>
      </c>
      <c r="K18" s="2">
        <f t="shared" si="2"/>
        <v>79.16425120825393</v>
      </c>
      <c r="L18" s="64">
        <f t="shared" si="3"/>
        <v>397.63106474023004</v>
      </c>
      <c r="M18" s="56"/>
      <c r="N18" s="91">
        <v>2061.206284250522</v>
      </c>
      <c r="O18" s="90">
        <v>5787.0106838025476</v>
      </c>
      <c r="P18" s="54">
        <f t="shared" si="4"/>
        <v>2.0612062842505221</v>
      </c>
      <c r="Q18" s="54">
        <f t="shared" si="5"/>
        <v>5.7870106838025475</v>
      </c>
      <c r="R18" s="90">
        <v>0.86258771446722005</v>
      </c>
      <c r="S18" s="89">
        <v>0.41997167365378257</v>
      </c>
      <c r="T18" s="88">
        <v>12.037968711978143</v>
      </c>
      <c r="U18" s="87">
        <f t="shared" si="6"/>
        <v>1.2037968711978144E-2</v>
      </c>
      <c r="AO18" s="91">
        <v>316.3157955906251</v>
      </c>
      <c r="AP18" s="89">
        <v>7980.374553374435</v>
      </c>
      <c r="AQ18" s="5">
        <f t="shared" si="7"/>
        <v>0.31631579559062512</v>
      </c>
      <c r="AR18" s="41">
        <f t="shared" si="8"/>
        <v>7.9803745533744355</v>
      </c>
      <c r="AT18" s="54">
        <v>0</v>
      </c>
      <c r="AU18" s="54">
        <v>0</v>
      </c>
      <c r="AW18" s="54">
        <v>300</v>
      </c>
      <c r="AX18" s="54">
        <v>88.688607882302335</v>
      </c>
      <c r="AY18" s="54">
        <v>38.25163187289143</v>
      </c>
      <c r="AZ18" s="54">
        <v>30.320738338858021</v>
      </c>
      <c r="BA18" s="54">
        <v>0</v>
      </c>
      <c r="BB18" s="54">
        <v>0</v>
      </c>
      <c r="BD18" s="54">
        <f t="shared" si="10"/>
        <v>-1434.8542191349604</v>
      </c>
      <c r="BE18" s="54">
        <f t="shared" si="11"/>
        <v>-1434.8542191349604</v>
      </c>
      <c r="BF18" s="54">
        <f t="shared" si="12"/>
        <v>-10.133151265077405</v>
      </c>
      <c r="BG18" s="54">
        <f t="shared" si="13"/>
        <v>-10.133151265077405</v>
      </c>
    </row>
    <row r="19" spans="2:59" ht="13.8" thickBot="1" x14ac:dyDescent="0.3">
      <c r="B19" s="93">
        <v>2461.538461538461</v>
      </c>
      <c r="C19" s="95">
        <v>1218.3981020470819</v>
      </c>
      <c r="D19" s="95">
        <v>79.119019858865116</v>
      </c>
      <c r="E19" s="95">
        <v>3423.1603312022562</v>
      </c>
      <c r="F19" s="94">
        <v>397.62206211490951</v>
      </c>
      <c r="H19" s="92">
        <f t="shared" si="0"/>
        <v>2461.538461538461</v>
      </c>
      <c r="I19" s="54">
        <f t="shared" si="9"/>
        <v>8.6045063703889966</v>
      </c>
      <c r="J19" s="64">
        <f t="shared" si="1"/>
        <v>24.174861096061132</v>
      </c>
      <c r="K19" s="2">
        <f t="shared" si="2"/>
        <v>79.119019858865116</v>
      </c>
      <c r="L19" s="64">
        <f t="shared" si="3"/>
        <v>397.62206211490951</v>
      </c>
      <c r="M19" s="56"/>
      <c r="N19" s="91">
        <v>2217.9982770035399</v>
      </c>
      <c r="O19" s="90">
        <v>6231.5951606924591</v>
      </c>
      <c r="P19" s="54">
        <f t="shared" si="4"/>
        <v>2.2179982770035398</v>
      </c>
      <c r="Q19" s="54">
        <f t="shared" si="5"/>
        <v>6.2315951606924589</v>
      </c>
      <c r="R19" s="90">
        <v>0.87067989594746165</v>
      </c>
      <c r="S19" s="89">
        <v>0.4380673864951013</v>
      </c>
      <c r="T19" s="88">
        <v>13.478376652587931</v>
      </c>
      <c r="U19" s="87">
        <f t="shared" si="6"/>
        <v>1.3478376652587932E-2</v>
      </c>
      <c r="AO19" s="91">
        <v>315.95443796497148</v>
      </c>
      <c r="AP19" s="89">
        <v>7980.0131957487811</v>
      </c>
      <c r="AQ19" s="5">
        <f t="shared" si="7"/>
        <v>0.31595443796497147</v>
      </c>
      <c r="AR19" s="41">
        <f t="shared" si="8"/>
        <v>7.9800131957487812</v>
      </c>
      <c r="AT19" s="54">
        <v>0</v>
      </c>
      <c r="AU19" s="54">
        <v>0</v>
      </c>
      <c r="AW19" s="54">
        <v>300</v>
      </c>
      <c r="AX19" s="54">
        <v>94.717204239879109</v>
      </c>
      <c r="AY19" s="54">
        <v>40.864854727778798</v>
      </c>
      <c r="AZ19" s="54">
        <v>32.653102826462487</v>
      </c>
      <c r="BA19" s="54">
        <v>0</v>
      </c>
      <c r="BB19" s="54">
        <v>0</v>
      </c>
      <c r="BD19" s="54">
        <f t="shared" si="10"/>
        <v>-1350.1414532345993</v>
      </c>
      <c r="BE19" s="54">
        <f t="shared" si="11"/>
        <v>-1350.1414532345993</v>
      </c>
      <c r="BF19" s="54">
        <f t="shared" si="12"/>
        <v>-9.5348972686059277</v>
      </c>
      <c r="BG19" s="54">
        <f t="shared" si="13"/>
        <v>-9.5348972686059277</v>
      </c>
    </row>
    <row r="20" spans="2:59" x14ac:dyDescent="0.25">
      <c r="B20" s="93">
        <v>2637.3626373626371</v>
      </c>
      <c r="C20" s="95">
        <v>1217.3945642034569</v>
      </c>
      <c r="D20" s="95">
        <v>79.071452994572667</v>
      </c>
      <c r="E20" s="95">
        <v>3422.8455479223567</v>
      </c>
      <c r="F20" s="94">
        <v>397.61259997107538</v>
      </c>
      <c r="H20" s="92">
        <f t="shared" si="0"/>
        <v>2637.3626373626371</v>
      </c>
      <c r="I20" s="54">
        <f t="shared" si="9"/>
        <v>8.5974192387249779</v>
      </c>
      <c r="J20" s="64">
        <f t="shared" si="1"/>
        <v>24.172638050299131</v>
      </c>
      <c r="K20" s="2">
        <f t="shared" si="2"/>
        <v>79.071452994572667</v>
      </c>
      <c r="L20" s="64">
        <f t="shared" si="3"/>
        <v>397.61259997107538</v>
      </c>
      <c r="M20" s="56"/>
      <c r="N20" s="91">
        <v>2374.4693732052697</v>
      </c>
      <c r="O20" s="90">
        <v>6676.0951311388872</v>
      </c>
      <c r="P20" s="54">
        <f t="shared" si="4"/>
        <v>2.3744693732052697</v>
      </c>
      <c r="Q20" s="54">
        <f t="shared" si="5"/>
        <v>6.6760951311388874</v>
      </c>
      <c r="R20" s="90">
        <v>0.87779526213172809</v>
      </c>
      <c r="S20" s="89">
        <v>0.45505883021007687</v>
      </c>
      <c r="T20" s="88">
        <v>14.992271785680673</v>
      </c>
      <c r="U20" s="87">
        <f t="shared" si="6"/>
        <v>1.4992271785680673E-2</v>
      </c>
      <c r="W20" s="104" t="s">
        <v>243</v>
      </c>
      <c r="X20" s="103" t="str">
        <f xml:space="preserve"> " Simulated Torque Speed Curve for a " &amp; X21 &amp; " with a " &amp;X22 &amp; " at " &amp; INT(X23) &amp;"VDC"</f>
        <v xml:space="preserve"> Simulated Torque Speed Curve for a GVK142-025L6 with a GenericAmp at 300VDC</v>
      </c>
      <c r="Y20" s="103"/>
      <c r="Z20" s="103"/>
      <c r="AA20" s="103"/>
      <c r="AB20" s="103"/>
      <c r="AC20" s="103"/>
      <c r="AD20" s="102"/>
      <c r="AO20" s="91">
        <v>315.57464448052889</v>
      </c>
      <c r="AP20" s="89">
        <v>7979.6334022643414</v>
      </c>
      <c r="AQ20" s="5">
        <f t="shared" si="7"/>
        <v>0.31557464448052891</v>
      </c>
      <c r="AR20" s="41">
        <f t="shared" si="8"/>
        <v>7.9796334022643416</v>
      </c>
      <c r="AT20" s="54">
        <v>0</v>
      </c>
      <c r="AU20" s="54">
        <v>0</v>
      </c>
      <c r="AW20" s="54">
        <v>300</v>
      </c>
      <c r="AX20" s="54">
        <v>100.76895671174553</v>
      </c>
      <c r="AY20" s="54">
        <v>43.477634181421308</v>
      </c>
      <c r="AZ20" s="54">
        <v>34.985467314066945</v>
      </c>
      <c r="BA20" s="54">
        <v>0</v>
      </c>
      <c r="BB20" s="54">
        <v>0</v>
      </c>
      <c r="BD20" s="54">
        <f t="shared" si="10"/>
        <v>-1274.8439510372466</v>
      </c>
      <c r="BE20" s="54">
        <f t="shared" si="11"/>
        <v>-1274.8439510372466</v>
      </c>
      <c r="BF20" s="54">
        <f t="shared" si="12"/>
        <v>-9.0031352474381823</v>
      </c>
      <c r="BG20" s="54">
        <f t="shared" si="13"/>
        <v>-9.0031352474381823</v>
      </c>
    </row>
    <row r="21" spans="2:59" x14ac:dyDescent="0.25">
      <c r="B21" s="93">
        <v>2813.1868131868127</v>
      </c>
      <c r="C21" s="95">
        <v>1216.355509872709</v>
      </c>
      <c r="D21" s="95">
        <v>79.021546397800932</v>
      </c>
      <c r="E21" s="95">
        <v>3422.5292004968405</v>
      </c>
      <c r="F21" s="94">
        <v>397.60267827592071</v>
      </c>
      <c r="H21" s="92">
        <f t="shared" si="0"/>
        <v>2813.1868131868127</v>
      </c>
      <c r="I21" s="54">
        <f t="shared" si="9"/>
        <v>8.590081284411788</v>
      </c>
      <c r="J21" s="64">
        <f t="shared" si="1"/>
        <v>24.17040395831102</v>
      </c>
      <c r="K21" s="2">
        <f t="shared" si="2"/>
        <v>79.021546397800932</v>
      </c>
      <c r="L21" s="64">
        <f t="shared" si="3"/>
        <v>397.60267827592071</v>
      </c>
      <c r="M21" s="56"/>
      <c r="N21" s="91">
        <v>2530.6055977116825</v>
      </c>
      <c r="O21" s="90">
        <v>7120.5099847949641</v>
      </c>
      <c r="P21" s="54">
        <f t="shared" si="4"/>
        <v>2.5306055977116828</v>
      </c>
      <c r="Q21" s="54">
        <f t="shared" si="5"/>
        <v>7.120509984794964</v>
      </c>
      <c r="R21" s="90">
        <v>0.88409658291222226</v>
      </c>
      <c r="S21" s="89">
        <v>0.47104374629779538</v>
      </c>
      <c r="T21" s="88">
        <v>16.579654111256371</v>
      </c>
      <c r="U21" s="87">
        <f t="shared" si="6"/>
        <v>1.6579654111256371E-2</v>
      </c>
      <c r="W21" s="101"/>
      <c r="X21" s="56" t="str">
        <f>MotorSpecs1!$C$3</f>
        <v>GVK142-025L6</v>
      </c>
      <c r="Y21" s="56"/>
      <c r="Z21" s="56"/>
      <c r="AA21" s="56"/>
      <c r="AB21" s="56"/>
      <c r="AC21" s="56"/>
      <c r="AD21" s="99"/>
      <c r="AO21" s="91">
        <v>315.17641513729751</v>
      </c>
      <c r="AP21" s="89">
        <v>7979.2351729211105</v>
      </c>
      <c r="AQ21" s="5">
        <f t="shared" si="7"/>
        <v>0.31517641513729749</v>
      </c>
      <c r="AR21" s="41">
        <f t="shared" si="8"/>
        <v>7.9792351729211104</v>
      </c>
      <c r="AT21" s="54">
        <v>0</v>
      </c>
      <c r="AU21" s="54">
        <v>0</v>
      </c>
      <c r="AW21" s="54">
        <v>300</v>
      </c>
      <c r="AX21" s="54">
        <v>106.83984805167405</v>
      </c>
      <c r="AY21" s="54">
        <v>46.089844861415486</v>
      </c>
      <c r="AZ21" s="54">
        <v>37.31783180167141</v>
      </c>
      <c r="BA21" s="54">
        <v>0</v>
      </c>
      <c r="BB21" s="54">
        <v>0</v>
      </c>
      <c r="BD21" s="54">
        <f t="shared" si="10"/>
        <v>-1207.4745712892136</v>
      </c>
      <c r="BE21" s="54">
        <f t="shared" si="11"/>
        <v>-1207.4745712892136</v>
      </c>
      <c r="BF21" s="54">
        <f t="shared" si="12"/>
        <v>-8.527362791590491</v>
      </c>
      <c r="BG21" s="54">
        <f t="shared" si="13"/>
        <v>-8.527362791590491</v>
      </c>
    </row>
    <row r="22" spans="2:59" x14ac:dyDescent="0.25">
      <c r="B22" s="93">
        <v>2989.0109890109884</v>
      </c>
      <c r="C22" s="95">
        <v>1215.2808640753992</v>
      </c>
      <c r="D22" s="95">
        <v>78.969295632594779</v>
      </c>
      <c r="E22" s="95">
        <v>3422.2112888086103</v>
      </c>
      <c r="F22" s="94">
        <v>397.59229699504192</v>
      </c>
      <c r="H22" s="92">
        <f t="shared" si="0"/>
        <v>2989.0109890109884</v>
      </c>
      <c r="I22" s="54">
        <f t="shared" si="9"/>
        <v>8.5824919779336106</v>
      </c>
      <c r="J22" s="64">
        <f t="shared" si="1"/>
        <v>24.168158819269848</v>
      </c>
      <c r="K22" s="2">
        <f t="shared" si="2"/>
        <v>78.969295632594779</v>
      </c>
      <c r="L22" s="64">
        <f t="shared" si="3"/>
        <v>397.59229699504192</v>
      </c>
      <c r="M22" s="56"/>
      <c r="N22" s="91">
        <v>2686.3929301408498</v>
      </c>
      <c r="O22" s="90">
        <v>7564.8391112437312</v>
      </c>
      <c r="P22" s="54">
        <f t="shared" si="4"/>
        <v>2.6863929301408498</v>
      </c>
      <c r="Q22" s="54">
        <f t="shared" si="5"/>
        <v>7.5648391112437317</v>
      </c>
      <c r="R22" s="90">
        <v>0.88971234493660967</v>
      </c>
      <c r="S22" s="89">
        <v>0.48610867166574445</v>
      </c>
      <c r="T22" s="88">
        <v>18.240523629315028</v>
      </c>
      <c r="U22" s="87">
        <f t="shared" si="6"/>
        <v>1.8240523629315029E-2</v>
      </c>
      <c r="W22" s="101"/>
      <c r="X22" s="56" t="str">
        <f>MotorSpecs1!$C$4</f>
        <v>GenericAmp</v>
      </c>
      <c r="Y22" s="56"/>
      <c r="Z22" s="56"/>
      <c r="AA22" s="56"/>
      <c r="AB22" s="56"/>
      <c r="AC22" s="56"/>
      <c r="AD22" s="99"/>
      <c r="AO22" s="91">
        <v>314.75974993527689</v>
      </c>
      <c r="AP22" s="89">
        <v>7978.8185077190856</v>
      </c>
      <c r="AQ22" s="5">
        <f t="shared" si="7"/>
        <v>0.31475974993527689</v>
      </c>
      <c r="AR22" s="41">
        <f t="shared" si="8"/>
        <v>7.9788185077190859</v>
      </c>
      <c r="AT22" s="54">
        <v>0</v>
      </c>
      <c r="AU22" s="54">
        <v>0</v>
      </c>
      <c r="AW22" s="54">
        <v>300</v>
      </c>
      <c r="AX22" s="54">
        <v>112.92670922131167</v>
      </c>
      <c r="AY22" s="54">
        <v>48.701378437154432</v>
      </c>
      <c r="AZ22" s="54">
        <v>39.650196289275875</v>
      </c>
      <c r="BA22" s="54">
        <v>0</v>
      </c>
      <c r="BB22" s="54">
        <v>0</v>
      </c>
      <c r="BD22" s="54">
        <f t="shared" si="10"/>
        <v>-1146.8436949491756</v>
      </c>
      <c r="BE22" s="54">
        <f t="shared" si="11"/>
        <v>-1146.8436949491756</v>
      </c>
      <c r="BF22" s="54">
        <f t="shared" si="12"/>
        <v>-8.0991786366467213</v>
      </c>
      <c r="BG22" s="54">
        <f t="shared" si="13"/>
        <v>-8.0991786366467213</v>
      </c>
    </row>
    <row r="23" spans="2:59" x14ac:dyDescent="0.25">
      <c r="B23" s="93">
        <v>3164.8351648351645</v>
      </c>
      <c r="C23" s="95">
        <v>1214.1705481069723</v>
      </c>
      <c r="D23" s="95">
        <v>78.914696042612803</v>
      </c>
      <c r="E23" s="95">
        <v>3421.8918127351308</v>
      </c>
      <c r="F23" s="94">
        <v>397.58145609243832</v>
      </c>
      <c r="H23" s="92">
        <f t="shared" si="0"/>
        <v>3164.8351648351645</v>
      </c>
      <c r="I23" s="54">
        <f t="shared" si="9"/>
        <v>8.5746507634673197</v>
      </c>
      <c r="J23" s="64">
        <f t="shared" si="1"/>
        <v>24.165902632310246</v>
      </c>
      <c r="K23" s="2">
        <f t="shared" si="2"/>
        <v>78.914696042612803</v>
      </c>
      <c r="L23" s="64">
        <f t="shared" si="3"/>
        <v>397.58145609243832</v>
      </c>
      <c r="M23" s="56"/>
      <c r="N23" s="91">
        <v>2841.8173023937088</v>
      </c>
      <c r="O23" s="90">
        <v>8009.0818999945941</v>
      </c>
      <c r="P23" s="54">
        <f t="shared" si="4"/>
        <v>2.841817302393709</v>
      </c>
      <c r="Q23" s="54">
        <f t="shared" si="5"/>
        <v>8.0090818999945945</v>
      </c>
      <c r="R23" s="90">
        <v>0.89474532507337845</v>
      </c>
      <c r="S23" s="89">
        <v>0.50033049944448049</v>
      </c>
      <c r="T23" s="88">
        <v>19.974880339856643</v>
      </c>
      <c r="U23" s="87">
        <f t="shared" si="6"/>
        <v>1.9974880339856643E-2</v>
      </c>
      <c r="W23" s="101"/>
      <c r="X23" s="100" t="str">
        <f>MotorSpecs1!$F$48</f>
        <v>300.0</v>
      </c>
      <c r="Y23" s="56"/>
      <c r="Z23" s="56"/>
      <c r="AA23" s="56"/>
      <c r="AB23" s="56"/>
      <c r="AC23" s="56"/>
      <c r="AD23" s="99"/>
      <c r="AO23" s="91">
        <v>314.32464887446747</v>
      </c>
      <c r="AP23" s="89">
        <v>7978.3834066582795</v>
      </c>
      <c r="AQ23" s="5">
        <f t="shared" si="7"/>
        <v>0.31432464887446748</v>
      </c>
      <c r="AR23" s="41">
        <f t="shared" si="8"/>
        <v>7.9783834066582795</v>
      </c>
      <c r="AT23" s="54">
        <v>0</v>
      </c>
      <c r="AU23" s="54">
        <v>0</v>
      </c>
      <c r="AW23" s="54">
        <v>300</v>
      </c>
      <c r="AX23" s="54">
        <v>119.02700786579771</v>
      </c>
      <c r="AY23" s="54">
        <v>51.312139257493953</v>
      </c>
      <c r="AZ23" s="54">
        <v>41.982560776880334</v>
      </c>
      <c r="BA23" s="54">
        <v>0</v>
      </c>
      <c r="BB23" s="54">
        <v>0</v>
      </c>
      <c r="BD23" s="54">
        <f t="shared" si="10"/>
        <v>-1091.9883651851887</v>
      </c>
      <c r="BE23" s="54">
        <f t="shared" si="11"/>
        <v>-1091.9883651851887</v>
      </c>
      <c r="BF23" s="54">
        <f t="shared" si="12"/>
        <v>-7.7117822400083957</v>
      </c>
      <c r="BG23" s="54">
        <f t="shared" si="13"/>
        <v>-7.7117822400083957</v>
      </c>
    </row>
    <row r="24" spans="2:59" ht="13.8" thickBot="1" x14ac:dyDescent="0.3">
      <c r="B24" s="93">
        <v>3340.6593406593402</v>
      </c>
      <c r="C24" s="95">
        <v>1213.024479501993</v>
      </c>
      <c r="D24" s="95">
        <v>78.857742749011322</v>
      </c>
      <c r="E24" s="95">
        <v>3421.5707721484318</v>
      </c>
      <c r="F24" s="94">
        <v>397.57015553051099</v>
      </c>
      <c r="H24" s="92">
        <f t="shared" si="0"/>
        <v>3340.6593406593402</v>
      </c>
      <c r="I24" s="54">
        <f t="shared" si="9"/>
        <v>8.5665570586298951</v>
      </c>
      <c r="J24" s="64">
        <f t="shared" si="1"/>
        <v>24.163635396528473</v>
      </c>
      <c r="K24" s="2">
        <f t="shared" si="2"/>
        <v>78.857742749011322</v>
      </c>
      <c r="L24" s="64">
        <f t="shared" si="3"/>
        <v>397.57015553051099</v>
      </c>
      <c r="M24" s="56"/>
      <c r="N24" s="91">
        <v>2996.8645961438224</v>
      </c>
      <c r="O24" s="90">
        <v>8453.2377404798026</v>
      </c>
      <c r="P24" s="54">
        <f t="shared" si="4"/>
        <v>2.9968645961438223</v>
      </c>
      <c r="Q24" s="54">
        <f t="shared" si="5"/>
        <v>8.4532377404798034</v>
      </c>
      <c r="R24" s="90">
        <v>0.89927871357347089</v>
      </c>
      <c r="S24" s="89">
        <v>0.51377778596594903</v>
      </c>
      <c r="T24" s="88">
        <v>21.782724242881212</v>
      </c>
      <c r="U24" s="87">
        <f t="shared" si="6"/>
        <v>2.1782724242881212E-2</v>
      </c>
      <c r="W24" s="98"/>
      <c r="X24" s="97"/>
      <c r="Y24" s="97"/>
      <c r="Z24" s="97"/>
      <c r="AA24" s="97"/>
      <c r="AB24" s="97"/>
      <c r="AC24" s="97"/>
      <c r="AD24" s="96"/>
      <c r="AO24" s="91">
        <v>313.87111195486909</v>
      </c>
      <c r="AP24" s="89">
        <v>7977.9298697386794</v>
      </c>
      <c r="AQ24" s="5">
        <f t="shared" si="7"/>
        <v>0.31387111195486911</v>
      </c>
      <c r="AR24" s="41">
        <f t="shared" si="8"/>
        <v>7.9779298697386798</v>
      </c>
      <c r="AT24" s="54">
        <v>0</v>
      </c>
      <c r="AU24" s="54">
        <v>0</v>
      </c>
      <c r="AW24" s="54">
        <v>300</v>
      </c>
      <c r="AX24" s="54">
        <v>125.1386965094855</v>
      </c>
      <c r="AY24" s="54">
        <v>53.922041256048999</v>
      </c>
      <c r="AZ24" s="54">
        <v>44.314925264484799</v>
      </c>
      <c r="BA24" s="54">
        <v>0</v>
      </c>
      <c r="BB24" s="54">
        <v>0</v>
      </c>
      <c r="BD24" s="54">
        <f t="shared" si="10"/>
        <v>-1042.1207583914086</v>
      </c>
      <c r="BE24" s="54">
        <f t="shared" si="11"/>
        <v>-1042.1207583914086</v>
      </c>
      <c r="BF24" s="54">
        <f t="shared" si="12"/>
        <v>-7.3596098756455408</v>
      </c>
      <c r="BG24" s="54">
        <f t="shared" si="13"/>
        <v>-7.3596098756455408</v>
      </c>
    </row>
    <row r="25" spans="2:59" x14ac:dyDescent="0.25">
      <c r="B25" s="93">
        <v>3516.4835164835154</v>
      </c>
      <c r="C25" s="95">
        <v>1211.8425719965126</v>
      </c>
      <c r="D25" s="95">
        <v>78.798430648217803</v>
      </c>
      <c r="E25" s="95">
        <v>3421.2481669150993</v>
      </c>
      <c r="F25" s="94">
        <v>397.55839527006282</v>
      </c>
      <c r="H25" s="92">
        <f t="shared" si="0"/>
        <v>3516.4835164835154</v>
      </c>
      <c r="I25" s="54">
        <f t="shared" si="9"/>
        <v>8.5582102542126588</v>
      </c>
      <c r="J25" s="64">
        <f t="shared" si="1"/>
        <v>24.16135711098234</v>
      </c>
      <c r="K25" s="2">
        <f t="shared" si="2"/>
        <v>78.798430648217803</v>
      </c>
      <c r="L25" s="64">
        <f t="shared" si="3"/>
        <v>397.55839527006282</v>
      </c>
      <c r="M25" s="56"/>
      <c r="N25" s="91">
        <v>3151.5206402943672</v>
      </c>
      <c r="O25" s="90">
        <v>8897.3060220508851</v>
      </c>
      <c r="P25" s="54">
        <f t="shared" si="4"/>
        <v>3.1515206402943674</v>
      </c>
      <c r="Q25" s="54">
        <f t="shared" si="5"/>
        <v>8.8973060220508859</v>
      </c>
      <c r="R25" s="90">
        <v>0.90338056679468959</v>
      </c>
      <c r="S25" s="89">
        <v>0.52651185079630991</v>
      </c>
      <c r="T25" s="88">
        <v>23.664055338388742</v>
      </c>
      <c r="U25" s="87">
        <f t="shared" si="6"/>
        <v>2.3664055338388744E-2</v>
      </c>
      <c r="AO25" s="91">
        <v>313.39913917648181</v>
      </c>
      <c r="AP25" s="89">
        <v>7977.4578969602944</v>
      </c>
      <c r="AQ25" s="5">
        <f t="shared" si="7"/>
        <v>0.31339913917648182</v>
      </c>
      <c r="AR25" s="41">
        <f t="shared" si="8"/>
        <v>7.9774578969602947</v>
      </c>
      <c r="AT25" s="54">
        <v>0</v>
      </c>
      <c r="AU25" s="54">
        <v>0</v>
      </c>
      <c r="AW25" s="54">
        <v>300</v>
      </c>
      <c r="AX25" s="54">
        <v>131.26010185671055</v>
      </c>
      <c r="AY25" s="54">
        <v>56.531005714053165</v>
      </c>
      <c r="AZ25" s="54">
        <v>46.647289752089257</v>
      </c>
      <c r="BA25" s="54">
        <v>0</v>
      </c>
      <c r="BB25" s="54">
        <v>0</v>
      </c>
      <c r="BD25" s="54">
        <f t="shared" si="10"/>
        <v>-996.5901012502901</v>
      </c>
      <c r="BE25" s="54">
        <f t="shared" si="11"/>
        <v>-996.5901012502901</v>
      </c>
      <c r="BF25" s="54">
        <f t="shared" si="12"/>
        <v>-7.038065686795834</v>
      </c>
      <c r="BG25" s="54">
        <f t="shared" si="13"/>
        <v>-7.038065686795834</v>
      </c>
    </row>
    <row r="26" spans="2:59" x14ac:dyDescent="0.25">
      <c r="B26" s="93">
        <v>3692.3076923076915</v>
      </c>
      <c r="C26" s="95">
        <v>1210.6247354885079</v>
      </c>
      <c r="D26" s="95">
        <v>78.736754409590674</v>
      </c>
      <c r="E26" s="95">
        <v>3420.9239968962765</v>
      </c>
      <c r="F26" s="94">
        <v>397.54617527029706</v>
      </c>
      <c r="H26" s="92">
        <f t="shared" si="0"/>
        <v>3692.3076923076915</v>
      </c>
      <c r="I26" s="54">
        <f t="shared" si="9"/>
        <v>8.5496097139018925</v>
      </c>
      <c r="J26" s="64">
        <f t="shared" si="1"/>
        <v>24.15906777469122</v>
      </c>
      <c r="K26" s="2">
        <f t="shared" si="2"/>
        <v>78.736754409590674</v>
      </c>
      <c r="L26" s="64">
        <f t="shared" si="3"/>
        <v>397.54617527029706</v>
      </c>
      <c r="M26" s="56"/>
      <c r="N26" s="91">
        <v>3305.7712084005066</v>
      </c>
      <c r="O26" s="90">
        <v>9341.286133975118</v>
      </c>
      <c r="P26" s="54">
        <f t="shared" si="4"/>
        <v>3.3057712084005066</v>
      </c>
      <c r="Q26" s="54">
        <f t="shared" si="5"/>
        <v>9.3412861339751174</v>
      </c>
      <c r="R26" s="90">
        <v>0.90710709802274769</v>
      </c>
      <c r="S26" s="89">
        <v>0.53858770706913695</v>
      </c>
      <c r="T26" s="88">
        <v>25.61887362637923</v>
      </c>
      <c r="U26" s="87">
        <f t="shared" si="6"/>
        <v>2.561887362637923E-2</v>
      </c>
      <c r="AO26" s="91">
        <v>312.90873053930551</v>
      </c>
      <c r="AP26" s="89">
        <v>7976.9674883231201</v>
      </c>
      <c r="AQ26" s="5">
        <f t="shared" si="7"/>
        <v>0.31290873053930551</v>
      </c>
      <c r="AR26" s="41">
        <f t="shared" si="8"/>
        <v>7.9769674883231199</v>
      </c>
      <c r="AT26" s="54">
        <v>0</v>
      </c>
      <c r="AU26" s="54">
        <v>0</v>
      </c>
      <c r="AW26" s="54">
        <v>300</v>
      </c>
      <c r="AX26" s="54">
        <v>137.38984287434275</v>
      </c>
      <c r="AY26" s="54">
        <v>59.138959615564836</v>
      </c>
      <c r="AZ26" s="54">
        <v>48.97965423969373</v>
      </c>
      <c r="BA26" s="54">
        <v>0</v>
      </c>
      <c r="BB26" s="54">
        <v>0</v>
      </c>
      <c r="BD26" s="54">
        <f t="shared" si="10"/>
        <v>-954.85411104189154</v>
      </c>
      <c r="BE26" s="54">
        <f t="shared" si="11"/>
        <v>-954.85411104189154</v>
      </c>
      <c r="BF26" s="54">
        <f t="shared" si="12"/>
        <v>-6.7433199932336976</v>
      </c>
      <c r="BG26" s="54">
        <f t="shared" si="13"/>
        <v>-6.7433199932336976</v>
      </c>
    </row>
    <row r="27" spans="2:59" x14ac:dyDescent="0.25">
      <c r="B27" s="93">
        <v>3868.1318681318676</v>
      </c>
      <c r="C27" s="95">
        <v>1209.3708759963763</v>
      </c>
      <c r="D27" s="95">
        <v>78.672708472963251</v>
      </c>
      <c r="E27" s="95">
        <v>3420.5982619476599</v>
      </c>
      <c r="F27" s="94">
        <v>397.5334954888171</v>
      </c>
      <c r="H27" s="92">
        <f t="shared" si="0"/>
        <v>3868.1318681318676</v>
      </c>
      <c r="I27" s="54">
        <f t="shared" si="9"/>
        <v>8.540754773985709</v>
      </c>
      <c r="J27" s="64">
        <f t="shared" si="1"/>
        <v>24.156767386636016</v>
      </c>
      <c r="K27" s="2">
        <f t="shared" si="2"/>
        <v>78.672708472963251</v>
      </c>
      <c r="L27" s="64">
        <f t="shared" si="3"/>
        <v>397.5334954888171</v>
      </c>
      <c r="M27" s="56"/>
      <c r="N27" s="91">
        <v>3459.6020160553257</v>
      </c>
      <c r="O27" s="90">
        <v>9785.1774654319743</v>
      </c>
      <c r="P27" s="54">
        <f t="shared" si="4"/>
        <v>3.4596020160553258</v>
      </c>
      <c r="Q27" s="54">
        <f t="shared" si="5"/>
        <v>9.7851774654319748</v>
      </c>
      <c r="R27" s="90">
        <v>0.91050514536681493</v>
      </c>
      <c r="S27" s="89">
        <v>0.5500548518957693</v>
      </c>
      <c r="T27" s="88">
        <v>27.647179106852672</v>
      </c>
      <c r="U27" s="87">
        <f t="shared" si="6"/>
        <v>2.7647179106852673E-2</v>
      </c>
      <c r="AO27" s="91">
        <v>312.39988604334013</v>
      </c>
      <c r="AP27" s="89">
        <v>7976.4586438271517</v>
      </c>
      <c r="AQ27" s="5">
        <f t="shared" si="7"/>
        <v>0.31239988604334012</v>
      </c>
      <c r="AR27" s="41">
        <f t="shared" si="8"/>
        <v>7.9764586438271516</v>
      </c>
      <c r="AT27" s="54">
        <v>0</v>
      </c>
      <c r="AU27" s="54">
        <v>0</v>
      </c>
      <c r="AW27" s="54">
        <v>300</v>
      </c>
      <c r="AX27" s="54">
        <v>143.52676934957387</v>
      </c>
      <c r="AY27" s="54">
        <v>61.745834419540508</v>
      </c>
      <c r="AZ27" s="54">
        <v>51.312018727298188</v>
      </c>
      <c r="BA27" s="54">
        <v>0</v>
      </c>
      <c r="BB27" s="54">
        <v>0</v>
      </c>
      <c r="BD27" s="54">
        <f t="shared" si="10"/>
        <v>-916.45729201540928</v>
      </c>
      <c r="BE27" s="54">
        <f t="shared" si="11"/>
        <v>-916.45729201540928</v>
      </c>
      <c r="BF27" s="54">
        <f t="shared" si="12"/>
        <v>-6.4721560170579755</v>
      </c>
      <c r="BG27" s="54">
        <f t="shared" si="13"/>
        <v>-6.4721560170579755</v>
      </c>
    </row>
    <row r="28" spans="2:59" x14ac:dyDescent="0.25">
      <c r="B28" s="93">
        <v>4043.9560439560432</v>
      </c>
      <c r="C28" s="95">
        <v>1208.0808956154049</v>
      </c>
      <c r="D28" s="95">
        <v>78.606287046068999</v>
      </c>
      <c r="E28" s="95">
        <v>3420.2709619194993</v>
      </c>
      <c r="F28" s="94">
        <v>397.52035588162585</v>
      </c>
      <c r="H28" s="92">
        <f t="shared" si="0"/>
        <v>4043.9560439560432</v>
      </c>
      <c r="I28" s="54">
        <f t="shared" si="9"/>
        <v>8.5316447430466447</v>
      </c>
      <c r="J28" s="64">
        <f t="shared" si="1"/>
        <v>24.154455945759178</v>
      </c>
      <c r="K28" s="2">
        <f t="shared" si="2"/>
        <v>78.606287046068999</v>
      </c>
      <c r="L28" s="64">
        <f t="shared" si="3"/>
        <v>397.52035588162585</v>
      </c>
      <c r="M28" s="56"/>
      <c r="N28" s="91">
        <v>3612.9987182373407</v>
      </c>
      <c r="O28" s="90">
        <v>10228.979405509581</v>
      </c>
      <c r="P28" s="54">
        <f t="shared" si="4"/>
        <v>3.6129987182373409</v>
      </c>
      <c r="Q28" s="54">
        <f t="shared" si="5"/>
        <v>10.22897940550958</v>
      </c>
      <c r="R28" s="90">
        <v>0.91361404720696793</v>
      </c>
      <c r="S28" s="89">
        <v>0.56095794080435257</v>
      </c>
      <c r="T28" s="88">
        <v>29.748971779809075</v>
      </c>
      <c r="U28" s="87">
        <f t="shared" si="6"/>
        <v>2.9748971779809077E-2</v>
      </c>
      <c r="AO28" s="91">
        <v>311.87260568858585</v>
      </c>
      <c r="AP28" s="89">
        <v>7975.9313634723967</v>
      </c>
      <c r="AQ28" s="5">
        <f t="shared" si="7"/>
        <v>0.31187260568858588</v>
      </c>
      <c r="AR28" s="41">
        <f t="shared" si="8"/>
        <v>7.9759313634723972</v>
      </c>
      <c r="AT28" s="54">
        <v>0</v>
      </c>
      <c r="AU28" s="54">
        <v>0</v>
      </c>
      <c r="AW28" s="54">
        <v>300</v>
      </c>
      <c r="AX28" s="54">
        <v>149.66991522895859</v>
      </c>
      <c r="AY28" s="54">
        <v>64.3515651302707</v>
      </c>
      <c r="AZ28" s="54">
        <v>53.644383214902653</v>
      </c>
      <c r="BA28" s="54">
        <v>0</v>
      </c>
      <c r="BB28" s="54">
        <v>0</v>
      </c>
      <c r="BD28" s="54">
        <f t="shared" si="10"/>
        <v>-881.01424151034712</v>
      </c>
      <c r="BE28" s="54">
        <f t="shared" si="11"/>
        <v>-881.01424151034712</v>
      </c>
      <c r="BF28" s="54">
        <f t="shared" si="12"/>
        <v>-6.2218519880674235</v>
      </c>
      <c r="BG28" s="54">
        <f t="shared" si="13"/>
        <v>-6.2218519880674235</v>
      </c>
    </row>
    <row r="29" spans="2:59" x14ac:dyDescent="0.25">
      <c r="B29" s="93">
        <v>4219.7802197802193</v>
      </c>
      <c r="C29" s="95">
        <v>1206.7546924722046</v>
      </c>
      <c r="D29" s="95">
        <v>78.537484101845223</v>
      </c>
      <c r="E29" s="95">
        <v>3419.9420966565945</v>
      </c>
      <c r="F29" s="94">
        <v>397.5067564031246</v>
      </c>
      <c r="H29" s="92">
        <f t="shared" si="0"/>
        <v>4219.7802197802193</v>
      </c>
      <c r="I29" s="54">
        <f t="shared" si="9"/>
        <v>8.5222789016398632</v>
      </c>
      <c r="J29" s="64">
        <f t="shared" si="1"/>
        <v>24.152133450964651</v>
      </c>
      <c r="K29" s="2">
        <f t="shared" si="2"/>
        <v>78.537484101845223</v>
      </c>
      <c r="L29" s="64">
        <f t="shared" si="3"/>
        <v>397.5067564031246</v>
      </c>
      <c r="M29" s="56"/>
      <c r="N29" s="91">
        <v>3765.9469066176816</v>
      </c>
      <c r="O29" s="90">
        <v>10672.691343201172</v>
      </c>
      <c r="P29" s="54">
        <f t="shared" si="4"/>
        <v>3.7659469066176818</v>
      </c>
      <c r="Q29" s="54">
        <f t="shared" si="5"/>
        <v>10.672691343201171</v>
      </c>
      <c r="R29" s="90">
        <v>0.91646708473760086</v>
      </c>
      <c r="S29" s="89">
        <v>0.57133736558530068</v>
      </c>
      <c r="T29" s="88">
        <v>31.924251645248432</v>
      </c>
      <c r="U29" s="87">
        <f t="shared" si="6"/>
        <v>3.1924251645248432E-2</v>
      </c>
      <c r="AO29" s="91">
        <v>311.32688947504255</v>
      </c>
      <c r="AP29" s="89">
        <v>7975.3856472588523</v>
      </c>
      <c r="AQ29" s="5">
        <f t="shared" si="7"/>
        <v>0.31132688947504256</v>
      </c>
      <c r="AR29" s="41">
        <f t="shared" si="8"/>
        <v>7.975385647258852</v>
      </c>
      <c r="AT29" s="54">
        <v>0</v>
      </c>
      <c r="AU29" s="54">
        <v>0</v>
      </c>
      <c r="AW29" s="54">
        <v>300</v>
      </c>
      <c r="AX29" s="54">
        <v>155.81846277406197</v>
      </c>
      <c r="AY29" s="54">
        <v>66.956089584653554</v>
      </c>
      <c r="AZ29" s="54">
        <v>55.976747702507112</v>
      </c>
      <c r="BA29" s="54">
        <v>0</v>
      </c>
      <c r="BB29" s="54">
        <v>0</v>
      </c>
      <c r="BD29" s="54">
        <f t="shared" si="10"/>
        <v>-848.1966666985827</v>
      </c>
      <c r="BE29" s="54">
        <f t="shared" si="11"/>
        <v>-848.1966666985827</v>
      </c>
      <c r="BF29" s="54">
        <f t="shared" si="12"/>
        <v>-5.9900894540860365</v>
      </c>
      <c r="BG29" s="54">
        <f t="shared" si="13"/>
        <v>-5.9900894540860365</v>
      </c>
    </row>
    <row r="30" spans="2:59" x14ac:dyDescent="0.25">
      <c r="B30" s="93">
        <v>4395.604395604395</v>
      </c>
      <c r="C30" s="95">
        <v>1205.3921606770259</v>
      </c>
      <c r="D30" s="95">
        <v>78.466293375612238</v>
      </c>
      <c r="E30" s="95">
        <v>3419.6116659982899</v>
      </c>
      <c r="F30" s="94">
        <v>397.49269700611251</v>
      </c>
      <c r="H30" s="92">
        <f t="shared" si="0"/>
        <v>4395.604395604395</v>
      </c>
      <c r="I30" s="54">
        <f t="shared" si="9"/>
        <v>8.512656501956398</v>
      </c>
      <c r="J30" s="64">
        <f t="shared" si="1"/>
        <v>24.149799901117866</v>
      </c>
      <c r="K30" s="2">
        <f t="shared" si="2"/>
        <v>78.466293375612238</v>
      </c>
      <c r="L30" s="64">
        <f t="shared" si="3"/>
        <v>397.49269700611251</v>
      </c>
      <c r="M30" s="56"/>
      <c r="N30" s="91">
        <v>3918.4321068248505</v>
      </c>
      <c r="O30" s="90">
        <v>11116.312667401522</v>
      </c>
      <c r="P30" s="54">
        <f t="shared" si="4"/>
        <v>3.9184321068248504</v>
      </c>
      <c r="Q30" s="54">
        <f t="shared" si="5"/>
        <v>11.116312667401523</v>
      </c>
      <c r="R30" s="90">
        <v>0.91909260386738656</v>
      </c>
      <c r="S30" s="89">
        <v>0.58122975130679067</v>
      </c>
      <c r="T30" s="88">
        <v>34.17301870317074</v>
      </c>
      <c r="U30" s="87">
        <f t="shared" si="6"/>
        <v>3.4173018703170743E-2</v>
      </c>
      <c r="AO30" s="91">
        <v>310.76273740271034</v>
      </c>
      <c r="AP30" s="89">
        <v>7974.8214951865239</v>
      </c>
      <c r="AQ30" s="5">
        <f t="shared" si="7"/>
        <v>0.31076273740271038</v>
      </c>
      <c r="AR30" s="41">
        <f t="shared" si="8"/>
        <v>7.9748214951865242</v>
      </c>
      <c r="AT30" s="54">
        <v>0</v>
      </c>
      <c r="AU30" s="54">
        <v>0</v>
      </c>
      <c r="AW30" s="54">
        <v>300</v>
      </c>
      <c r="AX30" s="54">
        <v>161.97171473270916</v>
      </c>
      <c r="AY30" s="54">
        <v>69.559347899268019</v>
      </c>
      <c r="AZ30" s="54">
        <v>58.309112190111577</v>
      </c>
      <c r="BA30" s="54">
        <v>0</v>
      </c>
      <c r="BB30" s="54">
        <v>0</v>
      </c>
      <c r="BD30" s="54">
        <f t="shared" si="10"/>
        <v>-817.72318408224987</v>
      </c>
      <c r="BE30" s="54">
        <f t="shared" si="11"/>
        <v>-817.72318408224987</v>
      </c>
      <c r="BF30" s="54">
        <f t="shared" si="12"/>
        <v>-5.7748812435187142</v>
      </c>
      <c r="BG30" s="54">
        <f t="shared" si="13"/>
        <v>-5.7748812435187142</v>
      </c>
    </row>
    <row r="31" spans="2:59" x14ac:dyDescent="0.25">
      <c r="B31" s="93">
        <v>4571.4285714285706</v>
      </c>
      <c r="C31" s="95">
        <v>1203.9931902739245</v>
      </c>
      <c r="D31" s="95">
        <v>78.392708362124935</v>
      </c>
      <c r="E31" s="95">
        <v>3419.2796697784738</v>
      </c>
      <c r="F31" s="94">
        <v>397.47817764178535</v>
      </c>
      <c r="H31" s="92">
        <f t="shared" si="0"/>
        <v>4571.4285714285706</v>
      </c>
      <c r="I31" s="54">
        <f t="shared" si="9"/>
        <v>8.502776767471218</v>
      </c>
      <c r="J31" s="64">
        <f t="shared" si="1"/>
        <v>24.14745529504572</v>
      </c>
      <c r="K31" s="2">
        <f t="shared" si="2"/>
        <v>78.392708362124935</v>
      </c>
      <c r="L31" s="64">
        <f t="shared" si="3"/>
        <v>397.47817764178535</v>
      </c>
      <c r="M31" s="56"/>
      <c r="N31" s="91">
        <v>4070.4397756649973</v>
      </c>
      <c r="O31" s="90">
        <v>11559.842766903403</v>
      </c>
      <c r="P31" s="54">
        <f t="shared" si="4"/>
        <v>4.0704397756649975</v>
      </c>
      <c r="Q31" s="54">
        <f t="shared" si="5"/>
        <v>11.559842766903403</v>
      </c>
      <c r="R31" s="90">
        <v>0.92151489665470643</v>
      </c>
      <c r="S31" s="89">
        <v>0.59066838539083</v>
      </c>
      <c r="T31" s="88">
        <v>36.495272953576013</v>
      </c>
      <c r="U31" s="87">
        <f t="shared" si="6"/>
        <v>3.6495272953576012E-2</v>
      </c>
      <c r="AO31" s="91">
        <v>310.18014947158912</v>
      </c>
      <c r="AP31" s="89">
        <v>7974.2389072554006</v>
      </c>
      <c r="AQ31" s="5">
        <f t="shared" si="7"/>
        <v>0.31018014947158912</v>
      </c>
      <c r="AR31" s="41">
        <f t="shared" si="8"/>
        <v>7.9742389072554012</v>
      </c>
      <c r="AT31" s="54">
        <v>0</v>
      </c>
      <c r="AU31" s="54">
        <v>0</v>
      </c>
      <c r="AW31" s="54">
        <v>300</v>
      </c>
      <c r="AX31" s="54">
        <v>168.12907251995892</v>
      </c>
      <c r="AY31" s="54">
        <v>72.161282036724359</v>
      </c>
      <c r="AZ31" s="54">
        <v>60.641476677716042</v>
      </c>
      <c r="BA31" s="54">
        <v>0</v>
      </c>
      <c r="BB31" s="54">
        <v>0</v>
      </c>
      <c r="BD31" s="54">
        <f t="shared" si="10"/>
        <v>-789.35122990102309</v>
      </c>
      <c r="BE31" s="54">
        <f t="shared" si="11"/>
        <v>-789.35122990102309</v>
      </c>
      <c r="BF31" s="54">
        <f t="shared" si="12"/>
        <v>-5.5745143354592033</v>
      </c>
      <c r="BG31" s="54">
        <f t="shared" si="13"/>
        <v>-5.5745143354592033</v>
      </c>
    </row>
    <row r="32" spans="2:59" x14ac:dyDescent="0.25">
      <c r="B32" s="93">
        <v>4747.2527472527463</v>
      </c>
      <c r="C32" s="95">
        <v>1202.5576671887063</v>
      </c>
      <c r="D32" s="95">
        <v>78.316722312493127</v>
      </c>
      <c r="E32" s="95">
        <v>3418.9461078255767</v>
      </c>
      <c r="F32" s="94">
        <v>397.46319825973529</v>
      </c>
      <c r="H32" s="92">
        <f t="shared" si="0"/>
        <v>4747.2527472527463</v>
      </c>
      <c r="I32" s="54">
        <f t="shared" si="9"/>
        <v>8.4926388925756093</v>
      </c>
      <c r="J32" s="64">
        <f t="shared" si="1"/>
        <v>24.14509963153656</v>
      </c>
      <c r="K32" s="2">
        <f t="shared" si="2"/>
        <v>78.316722312493127</v>
      </c>
      <c r="L32" s="64">
        <f t="shared" si="3"/>
        <v>397.46319825973529</v>
      </c>
      <c r="M32" s="56"/>
      <c r="N32" s="91">
        <v>4221.955298295532</v>
      </c>
      <c r="O32" s="90">
        <v>12003.281030394017</v>
      </c>
      <c r="P32" s="54">
        <f t="shared" si="4"/>
        <v>4.2219552982955317</v>
      </c>
      <c r="Q32" s="54">
        <f t="shared" si="5"/>
        <v>12.003281030394017</v>
      </c>
      <c r="R32" s="90">
        <v>0.92375490033428298</v>
      </c>
      <c r="S32" s="89">
        <v>0.59968358934334598</v>
      </c>
      <c r="T32" s="88">
        <v>38.891014396464229</v>
      </c>
      <c r="U32" s="87">
        <f t="shared" si="6"/>
        <v>3.8891014396464231E-2</v>
      </c>
      <c r="AO32" s="91">
        <v>309.57912568167899</v>
      </c>
      <c r="AP32" s="89">
        <v>7973.6378834654906</v>
      </c>
      <c r="AQ32" s="5">
        <f t="shared" si="7"/>
        <v>0.309579125681679</v>
      </c>
      <c r="AR32" s="41">
        <f t="shared" si="8"/>
        <v>7.9736378834654911</v>
      </c>
      <c r="AT32" s="54">
        <v>0</v>
      </c>
      <c r="AU32" s="54">
        <v>0</v>
      </c>
      <c r="AW32" s="54">
        <v>300</v>
      </c>
      <c r="AX32" s="54">
        <v>174.29001895408928</v>
      </c>
      <c r="AY32" s="54">
        <v>74.761835462089465</v>
      </c>
      <c r="AZ32" s="54">
        <v>62.973841165320501</v>
      </c>
      <c r="BA32" s="54">
        <v>0</v>
      </c>
      <c r="BB32" s="54">
        <v>0</v>
      </c>
      <c r="BD32" s="54">
        <f t="shared" si="10"/>
        <v>-762.87058879926167</v>
      </c>
      <c r="BE32" s="54">
        <f t="shared" si="11"/>
        <v>-762.87058879926167</v>
      </c>
      <c r="BF32" s="54">
        <f t="shared" si="12"/>
        <v>-5.3875041581868768</v>
      </c>
      <c r="BG32" s="54">
        <f t="shared" si="13"/>
        <v>-5.3875041581868768</v>
      </c>
    </row>
    <row r="33" spans="2:59" x14ac:dyDescent="0.25">
      <c r="B33" s="93">
        <v>4923.076923076922</v>
      </c>
      <c r="C33" s="95">
        <v>1201.0854731746001</v>
      </c>
      <c r="D33" s="95">
        <v>78.238328230967525</v>
      </c>
      <c r="E33" s="95">
        <v>3418.610979962566</v>
      </c>
      <c r="F33" s="94">
        <v>397.44775880794964</v>
      </c>
      <c r="H33" s="92">
        <f t="shared" si="0"/>
        <v>4923.076923076922</v>
      </c>
      <c r="I33" s="54">
        <f t="shared" si="9"/>
        <v>8.4822420421935032</v>
      </c>
      <c r="J33" s="64">
        <f t="shared" si="1"/>
        <v>24.142732909340157</v>
      </c>
      <c r="K33" s="2">
        <f t="shared" si="2"/>
        <v>78.238328230967525</v>
      </c>
      <c r="L33" s="64">
        <f t="shared" si="3"/>
        <v>397.44775880794964</v>
      </c>
      <c r="M33" s="56"/>
      <c r="N33" s="91">
        <v>4372.9639853498411</v>
      </c>
      <c r="O33" s="90">
        <v>12446.626846451456</v>
      </c>
      <c r="P33" s="54">
        <f t="shared" si="4"/>
        <v>4.3729639853498412</v>
      </c>
      <c r="Q33" s="54">
        <f t="shared" si="5"/>
        <v>12.446626846451457</v>
      </c>
      <c r="R33" s="90">
        <v>0.92583075650595315</v>
      </c>
      <c r="S33" s="89">
        <v>0.60830304188512707</v>
      </c>
      <c r="T33" s="88">
        <v>41.360243031835424</v>
      </c>
      <c r="U33" s="87">
        <f t="shared" si="6"/>
        <v>4.1360243031835428E-2</v>
      </c>
      <c r="AO33" s="91">
        <v>308.95966603298001</v>
      </c>
      <c r="AP33" s="89">
        <v>7973.0184238167922</v>
      </c>
      <c r="AQ33" s="5">
        <f t="shared" si="7"/>
        <v>0.30895966603298003</v>
      </c>
      <c r="AR33" s="41">
        <f t="shared" si="8"/>
        <v>7.973018423816792</v>
      </c>
      <c r="AT33" s="54">
        <v>0</v>
      </c>
      <c r="AU33" s="54">
        <v>0</v>
      </c>
      <c r="AW33" s="54">
        <v>300</v>
      </c>
      <c r="AX33" s="54">
        <v>180.45410448011393</v>
      </c>
      <c r="AY33" s="54">
        <v>77.360952868072658</v>
      </c>
      <c r="AZ33" s="54">
        <v>65.306205652924973</v>
      </c>
      <c r="BA33" s="54">
        <v>0</v>
      </c>
      <c r="BB33" s="54">
        <v>0</v>
      </c>
      <c r="BD33" s="54">
        <f t="shared" si="10"/>
        <v>-738.09817526482504</v>
      </c>
      <c r="BE33" s="54">
        <f t="shared" si="11"/>
        <v>-738.09817526482504</v>
      </c>
      <c r="BF33" s="54">
        <f t="shared" si="12"/>
        <v>-5.2125577349210808</v>
      </c>
      <c r="BG33" s="54">
        <f t="shared" si="13"/>
        <v>-5.2125577349210808</v>
      </c>
    </row>
    <row r="34" spans="2:59" x14ac:dyDescent="0.25">
      <c r="B34" s="93">
        <v>5098.9010989010976</v>
      </c>
      <c r="C34" s="95">
        <v>1199.5764857555951</v>
      </c>
      <c r="D34" s="95">
        <v>78.1575188715873</v>
      </c>
      <c r="E34" s="95">
        <v>3418.2742860069447</v>
      </c>
      <c r="F34" s="94">
        <v>397.43185923280987</v>
      </c>
      <c r="H34" s="92">
        <f t="shared" si="0"/>
        <v>5098.9010989010976</v>
      </c>
      <c r="I34" s="54">
        <f t="shared" si="9"/>
        <v>8.4715853513813215</v>
      </c>
      <c r="J34" s="64">
        <f t="shared" si="1"/>
        <v>24.140355127167691</v>
      </c>
      <c r="K34" s="2">
        <f t="shared" si="2"/>
        <v>78.1575188715873</v>
      </c>
      <c r="L34" s="64">
        <f t="shared" si="3"/>
        <v>397.43185923280987</v>
      </c>
      <c r="M34" s="56"/>
      <c r="N34" s="91">
        <v>4523.4510700108149</v>
      </c>
      <c r="O34" s="90">
        <v>12889.879603541112</v>
      </c>
      <c r="P34" s="54">
        <f t="shared" si="4"/>
        <v>4.5234510700108146</v>
      </c>
      <c r="Q34" s="54">
        <f t="shared" si="5"/>
        <v>12.889879603541113</v>
      </c>
      <c r="R34" s="90">
        <v>0.92775826206822642</v>
      </c>
      <c r="S34" s="89">
        <v>0.61655206073823987</v>
      </c>
      <c r="T34" s="88">
        <v>43.902958859689555</v>
      </c>
      <c r="U34" s="87">
        <f t="shared" si="6"/>
        <v>4.3902958859689555E-2</v>
      </c>
      <c r="AO34" s="91">
        <v>308.32177052549196</v>
      </c>
      <c r="AP34" s="89">
        <v>7972.3805283093025</v>
      </c>
      <c r="AQ34" s="5">
        <f t="shared" si="7"/>
        <v>0.30832177052549198</v>
      </c>
      <c r="AR34" s="41">
        <f t="shared" si="8"/>
        <v>7.9723805283093023</v>
      </c>
      <c r="AT34" s="54">
        <v>0</v>
      </c>
      <c r="AU34" s="54">
        <v>0</v>
      </c>
      <c r="AW34" s="54">
        <v>300</v>
      </c>
      <c r="AX34" s="54">
        <v>186.6209360888416</v>
      </c>
      <c r="AY34" s="54">
        <v>79.958579953221545</v>
      </c>
      <c r="AZ34" s="54">
        <v>67.638570140529424</v>
      </c>
      <c r="BA34" s="54">
        <v>0</v>
      </c>
      <c r="BB34" s="54">
        <v>0</v>
      </c>
      <c r="BD34" s="54">
        <f t="shared" si="10"/>
        <v>-714.87379374149168</v>
      </c>
      <c r="BE34" s="54">
        <f t="shared" si="11"/>
        <v>-714.87379374149168</v>
      </c>
      <c r="BF34" s="54">
        <f t="shared" si="12"/>
        <v>-5.0485437411122298</v>
      </c>
      <c r="BG34" s="54">
        <f t="shared" si="13"/>
        <v>-5.0485437411122298</v>
      </c>
    </row>
    <row r="35" spans="2:59" x14ac:dyDescent="0.25">
      <c r="B35" s="93">
        <v>5274.7252747252742</v>
      </c>
      <c r="C35" s="95">
        <v>1198.0305781673749</v>
      </c>
      <c r="D35" s="95">
        <v>78.074286734685572</v>
      </c>
      <c r="E35" s="95">
        <v>3417.9360257707463</v>
      </c>
      <c r="F35" s="94">
        <v>397.41549947909101</v>
      </c>
      <c r="H35" s="92">
        <f t="shared" si="0"/>
        <v>5274.7252747252742</v>
      </c>
      <c r="I35" s="54">
        <f t="shared" si="9"/>
        <v>8.4606679249108403</v>
      </c>
      <c r="J35" s="64">
        <f t="shared" si="1"/>
        <v>24.137966283691711</v>
      </c>
      <c r="K35" s="2">
        <f t="shared" si="2"/>
        <v>78.074286734685572</v>
      </c>
      <c r="L35" s="64">
        <f t="shared" si="3"/>
        <v>397.41549947909101</v>
      </c>
      <c r="M35" s="56"/>
      <c r="N35" s="91">
        <v>4673.4017050308021</v>
      </c>
      <c r="O35" s="90">
        <v>13333.03869001213</v>
      </c>
      <c r="P35" s="54">
        <f t="shared" si="4"/>
        <v>4.6734017050308019</v>
      </c>
      <c r="Q35" s="54">
        <f t="shared" si="5"/>
        <v>13.333038690012131</v>
      </c>
      <c r="R35" s="90">
        <v>0.92955123558203656</v>
      </c>
      <c r="S35" s="89">
        <v>0.62445384911074919</v>
      </c>
      <c r="T35" s="88">
        <v>46.519161880026665</v>
      </c>
      <c r="U35" s="87">
        <f t="shared" si="6"/>
        <v>4.6519161880026666E-2</v>
      </c>
      <c r="AO35" s="91">
        <v>307.66543915921483</v>
      </c>
      <c r="AP35" s="89">
        <v>7971.724196943027</v>
      </c>
      <c r="AQ35" s="5">
        <f t="shared" si="7"/>
        <v>0.30766543915921485</v>
      </c>
      <c r="AR35" s="41">
        <f t="shared" si="8"/>
        <v>7.9717241969430273</v>
      </c>
      <c r="AT35" s="54">
        <v>0</v>
      </c>
      <c r="AU35" s="54">
        <v>0</v>
      </c>
      <c r="AW35" s="54">
        <v>300</v>
      </c>
      <c r="AX35" s="54">
        <v>192.79016833780869</v>
      </c>
      <c r="AY35" s="54">
        <v>82.554663241363258</v>
      </c>
      <c r="AZ35" s="54">
        <v>69.97093462813389</v>
      </c>
      <c r="BA35" s="54">
        <v>0</v>
      </c>
      <c r="BB35" s="54">
        <v>0</v>
      </c>
      <c r="BD35" s="54">
        <f t="shared" si="10"/>
        <v>-693.05666977768999</v>
      </c>
      <c r="BE35" s="54">
        <f t="shared" si="11"/>
        <v>-693.05666977768999</v>
      </c>
      <c r="BF35" s="54">
        <f t="shared" si="12"/>
        <v>-4.8944680069045905</v>
      </c>
      <c r="BG35" s="54">
        <f t="shared" si="13"/>
        <v>-4.8944680069045905</v>
      </c>
    </row>
    <row r="36" spans="2:59" x14ac:dyDescent="0.25">
      <c r="B36" s="93">
        <v>5450.5494505494489</v>
      </c>
      <c r="C36" s="95">
        <v>1196.4476192957777</v>
      </c>
      <c r="D36" s="95">
        <v>77.98862406324875</v>
      </c>
      <c r="E36" s="95">
        <v>3417.5961990605315</v>
      </c>
      <c r="F36" s="94">
        <v>397.39867948996033</v>
      </c>
      <c r="H36" s="92">
        <f t="shared" si="0"/>
        <v>5450.5494505494489</v>
      </c>
      <c r="I36" s="54">
        <f t="shared" si="9"/>
        <v>8.449488836834588</v>
      </c>
      <c r="J36" s="64">
        <f t="shared" si="1"/>
        <v>24.135566377546127</v>
      </c>
      <c r="K36" s="2">
        <f t="shared" si="2"/>
        <v>77.98862406324875</v>
      </c>
      <c r="L36" s="64">
        <f t="shared" si="3"/>
        <v>397.39867948996033</v>
      </c>
      <c r="M36" s="56"/>
      <c r="N36" s="91">
        <v>4822.8009596954935</v>
      </c>
      <c r="O36" s="90">
        <v>13776.103494093826</v>
      </c>
      <c r="P36" s="54">
        <f t="shared" si="4"/>
        <v>4.8228009596954937</v>
      </c>
      <c r="Q36" s="54">
        <f t="shared" si="5"/>
        <v>13.776103494093826</v>
      </c>
      <c r="R36" s="90">
        <v>0.93122181700706685</v>
      </c>
      <c r="S36" s="89">
        <v>0.63202971193383939</v>
      </c>
      <c r="T36" s="88">
        <v>49.208852092846712</v>
      </c>
      <c r="U36" s="87">
        <f t="shared" si="6"/>
        <v>4.9208852092846714E-2</v>
      </c>
      <c r="AO36" s="91">
        <v>306.99067193414885</v>
      </c>
      <c r="AP36" s="89">
        <v>7971.0494297179594</v>
      </c>
      <c r="AQ36" s="5">
        <f t="shared" si="7"/>
        <v>0.30699067193414886</v>
      </c>
      <c r="AR36" s="41">
        <f t="shared" si="8"/>
        <v>7.9710494297179597</v>
      </c>
      <c r="AT36" s="54">
        <v>0</v>
      </c>
      <c r="AU36" s="54">
        <v>0</v>
      </c>
      <c r="AW36" s="54">
        <v>300</v>
      </c>
      <c r="AX36" s="54">
        <v>198.96149602476578</v>
      </c>
      <c r="AY36" s="54">
        <v>85.149149933408822</v>
      </c>
      <c r="AZ36" s="54">
        <v>72.303299115738355</v>
      </c>
      <c r="BA36" s="54">
        <v>0</v>
      </c>
      <c r="BB36" s="54">
        <v>0</v>
      </c>
      <c r="BD36" s="54">
        <f t="shared" si="10"/>
        <v>-672.52259343918115</v>
      </c>
      <c r="BE36" s="54">
        <f t="shared" si="11"/>
        <v>-672.52259343918115</v>
      </c>
      <c r="BF36" s="54">
        <f t="shared" si="12"/>
        <v>-4.7494533434970423</v>
      </c>
      <c r="BG36" s="54">
        <f t="shared" si="13"/>
        <v>-4.7494533434970423</v>
      </c>
    </row>
    <row r="37" spans="2:59" x14ac:dyDescent="0.25">
      <c r="B37" s="93">
        <v>5626.3736263736255</v>
      </c>
      <c r="C37" s="95">
        <v>1194.8274736127128</v>
      </c>
      <c r="D37" s="95">
        <v>77.90052283912506</v>
      </c>
      <c r="E37" s="95">
        <v>3417.2548056773908</v>
      </c>
      <c r="F37" s="94">
        <v>397.38139920697665</v>
      </c>
      <c r="H37" s="92">
        <f t="shared" ref="H37:H68" si="14">B37*$X$1</f>
        <v>5626.3736263736255</v>
      </c>
      <c r="I37" s="54">
        <f t="shared" ref="I37:I68" si="15">C37/$X$2</f>
        <v>8.4380471300332829</v>
      </c>
      <c r="J37" s="64">
        <f t="shared" ref="J37:J68" si="16">E37/$X$2</f>
        <v>24.133155407326207</v>
      </c>
      <c r="K37" s="2">
        <f t="shared" ref="K37:K68" si="17">D37*$AD$1</f>
        <v>77.90052283912506</v>
      </c>
      <c r="L37" s="64">
        <f t="shared" ref="L37:L68" si="18">$AD$1*F37</f>
        <v>397.38139920697665</v>
      </c>
      <c r="M37" s="56"/>
      <c r="N37" s="91">
        <v>4971.6338167292233</v>
      </c>
      <c r="O37" s="90">
        <v>14219.073403892146</v>
      </c>
      <c r="P37" s="54">
        <f t="shared" ref="P37:P68" si="19">N37*$AJ$1</f>
        <v>4.9716338167292236</v>
      </c>
      <c r="Q37" s="54">
        <f t="shared" ref="Q37:Q68" si="20">O37*$AJ$1</f>
        <v>14.219073403892146</v>
      </c>
      <c r="R37" s="90">
        <v>0.93278071453050959</v>
      </c>
      <c r="S37" s="89">
        <v>0.63929924609504274</v>
      </c>
      <c r="T37" s="88">
        <v>51.972029498149723</v>
      </c>
      <c r="U37" s="87">
        <f t="shared" ref="U37:U68" si="21">T37*$AJ$1</f>
        <v>5.1972029498149726E-2</v>
      </c>
      <c r="AO37" s="91">
        <v>306.29746885029385</v>
      </c>
      <c r="AP37" s="89">
        <v>7970.356226634106</v>
      </c>
      <c r="AQ37" s="5">
        <f t="shared" ref="AQ37:AQ68" si="22">AO37*$AJ$1</f>
        <v>0.30629746885029385</v>
      </c>
      <c r="AR37" s="41">
        <f t="shared" ref="AR37:AR68" si="23">AP37*$AJ$1</f>
        <v>7.9703562266341059</v>
      </c>
      <c r="AT37" s="54">
        <v>0</v>
      </c>
      <c r="AU37" s="54">
        <v>0</v>
      </c>
      <c r="AW37" s="54">
        <v>300</v>
      </c>
      <c r="AX37" s="54">
        <v>205.13464817056266</v>
      </c>
      <c r="AY37" s="54">
        <v>87.741987784751444</v>
      </c>
      <c r="AZ37" s="54">
        <v>74.63566360334282</v>
      </c>
      <c r="BA37" s="54">
        <v>0</v>
      </c>
      <c r="BB37" s="54">
        <v>0</v>
      </c>
      <c r="BD37" s="54">
        <f t="shared" si="10"/>
        <v>-653.16155251073155</v>
      </c>
      <c r="BE37" s="54">
        <f t="shared" si="11"/>
        <v>-653.16155251073155</v>
      </c>
      <c r="BF37" s="54">
        <f t="shared" si="12"/>
        <v>-4.6127228284656185</v>
      </c>
      <c r="BG37" s="54">
        <f t="shared" si="13"/>
        <v>-4.6127228284656185</v>
      </c>
    </row>
    <row r="38" spans="2:59" x14ac:dyDescent="0.25">
      <c r="B38" s="93">
        <v>5802.1978021978011</v>
      </c>
      <c r="C38" s="95">
        <v>1193.1700011094565</v>
      </c>
      <c r="D38" s="95">
        <v>77.809974779078374</v>
      </c>
      <c r="E38" s="95">
        <v>3416.9118454169293</v>
      </c>
      <c r="F38" s="94">
        <v>397.363658570089</v>
      </c>
      <c r="H38" s="92">
        <f t="shared" si="14"/>
        <v>5802.1978021978011</v>
      </c>
      <c r="I38" s="54">
        <f t="shared" si="15"/>
        <v>8.4263418157447489</v>
      </c>
      <c r="J38" s="64">
        <f t="shared" si="16"/>
        <v>24.130733371588484</v>
      </c>
      <c r="K38" s="2">
        <f t="shared" si="17"/>
        <v>77.809974779078374</v>
      </c>
      <c r="L38" s="64">
        <f t="shared" si="18"/>
        <v>397.363658570089</v>
      </c>
      <c r="M38" s="56"/>
      <c r="N38" s="91">
        <v>5119.8851691390237</v>
      </c>
      <c r="O38" s="90">
        <v>14661.947807386035</v>
      </c>
      <c r="P38" s="54">
        <f t="shared" si="19"/>
        <v>5.1198851691390237</v>
      </c>
      <c r="Q38" s="54">
        <f t="shared" si="20"/>
        <v>14.661947807386035</v>
      </c>
      <c r="R38" s="90">
        <v>0.93423740907157371</v>
      </c>
      <c r="S38" s="89">
        <v>0.64628050824421346</v>
      </c>
      <c r="T38" s="88">
        <v>54.808694095935707</v>
      </c>
      <c r="U38" s="87">
        <f t="shared" si="21"/>
        <v>5.4808694095935709E-2</v>
      </c>
      <c r="AO38" s="91">
        <v>305.5858299076499</v>
      </c>
      <c r="AP38" s="89">
        <v>7969.6445876914586</v>
      </c>
      <c r="AQ38" s="5">
        <f t="shared" si="22"/>
        <v>0.30558582990764988</v>
      </c>
      <c r="AR38" s="41">
        <f t="shared" si="23"/>
        <v>7.9696445876914588</v>
      </c>
      <c r="AT38" s="54">
        <v>0</v>
      </c>
      <c r="AU38" s="54">
        <v>0</v>
      </c>
      <c r="AW38" s="54">
        <v>300</v>
      </c>
      <c r="AX38" s="54">
        <v>211.30938304711557</v>
      </c>
      <c r="AY38" s="54">
        <v>90.33312500305226</v>
      </c>
      <c r="AZ38" s="54">
        <v>76.968028090947286</v>
      </c>
      <c r="BA38" s="54">
        <v>0</v>
      </c>
      <c r="BB38" s="54">
        <v>0</v>
      </c>
      <c r="BD38" s="54">
        <f t="shared" si="10"/>
        <v>-634.87576023325255</v>
      </c>
      <c r="BE38" s="54">
        <f t="shared" si="11"/>
        <v>-634.87576023325255</v>
      </c>
      <c r="BF38" s="54">
        <f t="shared" si="12"/>
        <v>-4.4835858773534785</v>
      </c>
      <c r="BG38" s="54">
        <f t="shared" si="13"/>
        <v>-4.4835858773534785</v>
      </c>
    </row>
    <row r="39" spans="2:59" x14ac:dyDescent="0.25">
      <c r="B39" s="93">
        <v>5978.0219780219768</v>
      </c>
      <c r="C39" s="95">
        <v>1191.4750572272512</v>
      </c>
      <c r="D39" s="95">
        <v>77.716971330681972</v>
      </c>
      <c r="E39" s="95">
        <v>3416.5673180692766</v>
      </c>
      <c r="F39" s="94">
        <v>397.34545751763608</v>
      </c>
      <c r="H39" s="92">
        <f t="shared" si="14"/>
        <v>5978.0219780219768</v>
      </c>
      <c r="I39" s="54">
        <f t="shared" si="15"/>
        <v>8.414371873073808</v>
      </c>
      <c r="J39" s="64">
        <f t="shared" si="16"/>
        <v>24.128300268850825</v>
      </c>
      <c r="K39" s="2">
        <f t="shared" si="17"/>
        <v>77.716971330681972</v>
      </c>
      <c r="L39" s="64">
        <f t="shared" si="18"/>
        <v>397.34545751763608</v>
      </c>
      <c r="M39" s="56"/>
      <c r="N39" s="91">
        <v>5267.5398169947121</v>
      </c>
      <c r="O39" s="90">
        <v>15104.726092423925</v>
      </c>
      <c r="P39" s="54">
        <f t="shared" si="19"/>
        <v>5.2675398169947121</v>
      </c>
      <c r="Q39" s="54">
        <f t="shared" si="20"/>
        <v>15.104726092423926</v>
      </c>
      <c r="R39" s="90">
        <v>0.93560032469278898</v>
      </c>
      <c r="S39" s="89">
        <v>0.65299016319750514</v>
      </c>
      <c r="T39" s="88">
        <v>57.718845886204619</v>
      </c>
      <c r="U39" s="87">
        <f t="shared" si="21"/>
        <v>5.7718845886204621E-2</v>
      </c>
      <c r="AO39" s="91">
        <v>304.85575510621698</v>
      </c>
      <c r="AP39" s="89">
        <v>7968.9145128900282</v>
      </c>
      <c r="AQ39" s="5">
        <f t="shared" si="22"/>
        <v>0.30485575510621699</v>
      </c>
      <c r="AR39" s="41">
        <f t="shared" si="23"/>
        <v>7.9689145128900281</v>
      </c>
      <c r="AT39" s="54">
        <v>0</v>
      </c>
      <c r="AU39" s="54">
        <v>0</v>
      </c>
      <c r="AW39" s="54">
        <v>300</v>
      </c>
      <c r="AX39" s="54">
        <v>217.48548404523595</v>
      </c>
      <c r="AY39" s="54">
        <v>92.922510162374692</v>
      </c>
      <c r="AZ39" s="54">
        <v>79.300392578551751</v>
      </c>
      <c r="BA39" s="54">
        <v>0</v>
      </c>
      <c r="BB39" s="54">
        <v>0</v>
      </c>
      <c r="BD39" s="54">
        <f t="shared" si="10"/>
        <v>-617.57800292176444</v>
      </c>
      <c r="BE39" s="54">
        <f t="shared" si="11"/>
        <v>-617.57800292176444</v>
      </c>
      <c r="BF39" s="54">
        <f t="shared" si="12"/>
        <v>-4.3614265743062459</v>
      </c>
      <c r="BG39" s="54">
        <f t="shared" si="13"/>
        <v>-4.3614265743062459</v>
      </c>
    </row>
    <row r="40" spans="2:59" x14ac:dyDescent="0.25">
      <c r="B40" s="93">
        <v>6153.8461538461534</v>
      </c>
      <c r="C40" s="95">
        <v>1189.7424927851116</v>
      </c>
      <c r="D40" s="95">
        <v>77.62150366804768</v>
      </c>
      <c r="E40" s="95">
        <v>3416.2212234190724</v>
      </c>
      <c r="F40" s="94">
        <v>397.32679598634451</v>
      </c>
      <c r="H40" s="92">
        <f t="shared" si="14"/>
        <v>6153.8461538461534</v>
      </c>
      <c r="I40" s="54">
        <f t="shared" si="15"/>
        <v>8.4021362484824262</v>
      </c>
      <c r="J40" s="64">
        <f t="shared" si="16"/>
        <v>24.125856097592319</v>
      </c>
      <c r="K40" s="2">
        <f t="shared" si="17"/>
        <v>77.62150366804768</v>
      </c>
      <c r="L40" s="64">
        <f t="shared" si="18"/>
        <v>397.32679598634451</v>
      </c>
      <c r="M40" s="56"/>
      <c r="N40" s="91">
        <v>5414.5824641421323</v>
      </c>
      <c r="O40" s="90">
        <v>15547.40764672011</v>
      </c>
      <c r="P40" s="54">
        <f t="shared" si="19"/>
        <v>5.4145824641421321</v>
      </c>
      <c r="Q40" s="54">
        <f t="shared" si="20"/>
        <v>15.54740764672011</v>
      </c>
      <c r="R40" s="90">
        <v>0.93687697136914549</v>
      </c>
      <c r="S40" s="89">
        <v>0.65944361550704045</v>
      </c>
      <c r="T40" s="88">
        <v>60.70248486895651</v>
      </c>
      <c r="U40" s="87">
        <f t="shared" si="21"/>
        <v>6.0702484868956512E-2</v>
      </c>
      <c r="AO40" s="91">
        <v>304.10724444599521</v>
      </c>
      <c r="AP40" s="89">
        <v>7968.1660022298074</v>
      </c>
      <c r="AQ40" s="5">
        <f t="shared" si="22"/>
        <v>0.30410724444599524</v>
      </c>
      <c r="AR40" s="41">
        <f t="shared" si="23"/>
        <v>7.9681660022298075</v>
      </c>
      <c r="AT40" s="54">
        <v>0</v>
      </c>
      <c r="AU40" s="54">
        <v>0</v>
      </c>
      <c r="AW40" s="54">
        <v>300</v>
      </c>
      <c r="AX40" s="54">
        <v>223.66275622177329</v>
      </c>
      <c r="AY40" s="54">
        <v>95.510092130510131</v>
      </c>
      <c r="AZ40" s="54">
        <v>81.632757066156216</v>
      </c>
      <c r="BA40" s="54">
        <v>0</v>
      </c>
      <c r="BB40" s="54">
        <v>0</v>
      </c>
      <c r="BD40" s="54">
        <f t="shared" si="10"/>
        <v>-601.19024852894029</v>
      </c>
      <c r="BE40" s="54">
        <f t="shared" si="11"/>
        <v>-601.19024852894029</v>
      </c>
      <c r="BF40" s="54">
        <f t="shared" si="12"/>
        <v>-4.2456938455433635</v>
      </c>
      <c r="BG40" s="54">
        <f t="shared" si="13"/>
        <v>-4.2456938455433635</v>
      </c>
    </row>
    <row r="41" spans="2:59" x14ac:dyDescent="0.25">
      <c r="B41" s="93">
        <v>6329.670329670329</v>
      </c>
      <c r="C41" s="95">
        <v>1187.9721539047634</v>
      </c>
      <c r="D41" s="95">
        <v>77.52356268738491</v>
      </c>
      <c r="E41" s="95">
        <v>3415.873561245468</v>
      </c>
      <c r="F41" s="94">
        <v>397.30767391132832</v>
      </c>
      <c r="H41" s="92">
        <f t="shared" si="14"/>
        <v>6329.670329670329</v>
      </c>
      <c r="I41" s="54">
        <f t="shared" si="15"/>
        <v>8.3896338552596283</v>
      </c>
      <c r="J41" s="64">
        <f t="shared" si="16"/>
        <v>24.123400856253305</v>
      </c>
      <c r="K41" s="2">
        <f t="shared" si="17"/>
        <v>77.52356268738491</v>
      </c>
      <c r="L41" s="64">
        <f t="shared" si="18"/>
        <v>397.30767391132832</v>
      </c>
      <c r="M41" s="56"/>
      <c r="N41" s="91">
        <v>5560.9977148466342</v>
      </c>
      <c r="O41" s="90">
        <v>15989.991857851166</v>
      </c>
      <c r="P41" s="54">
        <f t="shared" si="19"/>
        <v>5.5609977148466339</v>
      </c>
      <c r="Q41" s="54">
        <f t="shared" si="20"/>
        <v>15.989991857851166</v>
      </c>
      <c r="R41" s="90">
        <v>0.93807406520778902</v>
      </c>
      <c r="S41" s="89">
        <v>0.66565512638281177</v>
      </c>
      <c r="T41" s="88">
        <v>63.759611044191338</v>
      </c>
      <c r="U41" s="87">
        <f t="shared" si="21"/>
        <v>6.3759611044191339E-2</v>
      </c>
      <c r="AO41" s="91">
        <v>303.34029792698436</v>
      </c>
      <c r="AP41" s="89">
        <v>7967.3990557107973</v>
      </c>
      <c r="AQ41" s="5">
        <f t="shared" si="22"/>
        <v>0.30334029792698436</v>
      </c>
      <c r="AR41" s="41">
        <f t="shared" si="23"/>
        <v>7.9673990557107972</v>
      </c>
      <c r="AT41" s="54">
        <v>0</v>
      </c>
      <c r="AU41" s="54">
        <v>0</v>
      </c>
      <c r="AW41" s="54">
        <v>300</v>
      </c>
      <c r="AX41" s="54">
        <v>229.84102339957931</v>
      </c>
      <c r="AY41" s="54">
        <v>98.095820007006665</v>
      </c>
      <c r="AZ41" s="54">
        <v>83.965121553760667</v>
      </c>
      <c r="BA41" s="54">
        <v>0</v>
      </c>
      <c r="BB41" s="54">
        <v>0</v>
      </c>
      <c r="BD41" s="54">
        <f t="shared" si="10"/>
        <v>-585.64246931021182</v>
      </c>
      <c r="BE41" s="54">
        <f t="shared" si="11"/>
        <v>-585.64246931021182</v>
      </c>
      <c r="BF41" s="54">
        <f t="shared" si="12"/>
        <v>-4.1358931448461291</v>
      </c>
      <c r="BG41" s="54">
        <f t="shared" si="13"/>
        <v>-4.1358931448461291</v>
      </c>
    </row>
    <row r="42" spans="2:59" x14ac:dyDescent="0.25">
      <c r="B42" s="93">
        <v>6505.4945054945047</v>
      </c>
      <c r="C42" s="95">
        <v>1186.1638819326117</v>
      </c>
      <c r="D42" s="95">
        <v>77.423139002384289</v>
      </c>
      <c r="E42" s="95">
        <v>3415.5243313221217</v>
      </c>
      <c r="F42" s="94">
        <v>397.28809122608749</v>
      </c>
      <c r="H42" s="92">
        <f t="shared" si="14"/>
        <v>6505.4945054945047</v>
      </c>
      <c r="I42" s="54">
        <f t="shared" si="15"/>
        <v>8.3768635729704215</v>
      </c>
      <c r="J42" s="64">
        <f t="shared" si="16"/>
        <v>24.120934543235325</v>
      </c>
      <c r="K42" s="2">
        <f t="shared" si="17"/>
        <v>77.423139002384289</v>
      </c>
      <c r="L42" s="64">
        <f t="shared" si="18"/>
        <v>397.28809122608749</v>
      </c>
      <c r="M42" s="56"/>
      <c r="N42" s="91">
        <v>5706.7700703637174</v>
      </c>
      <c r="O42" s="90">
        <v>16432.478113252393</v>
      </c>
      <c r="P42" s="54">
        <f t="shared" si="19"/>
        <v>5.7067700703637172</v>
      </c>
      <c r="Q42" s="54">
        <f t="shared" si="20"/>
        <v>16.432478113252394</v>
      </c>
      <c r="R42" s="90">
        <v>0.93919763016612079</v>
      </c>
      <c r="S42" s="89">
        <v>0.67163791783470395</v>
      </c>
      <c r="T42" s="88">
        <v>66.890224411909145</v>
      </c>
      <c r="U42" s="87">
        <f t="shared" si="21"/>
        <v>6.6890224411909144E-2</v>
      </c>
      <c r="AO42" s="91">
        <v>302.55491554918456</v>
      </c>
      <c r="AP42" s="89">
        <v>7966.6136733329959</v>
      </c>
      <c r="AQ42" s="5">
        <f t="shared" si="22"/>
        <v>0.30255491554918457</v>
      </c>
      <c r="AR42" s="41">
        <f t="shared" si="23"/>
        <v>7.9666136733329962</v>
      </c>
      <c r="AT42" s="54">
        <v>0</v>
      </c>
      <c r="AU42" s="54">
        <v>0</v>
      </c>
      <c r="AW42" s="54">
        <v>300</v>
      </c>
      <c r="AX42" s="54">
        <v>236.02012571995485</v>
      </c>
      <c r="AY42" s="54">
        <v>100.67964306992705</v>
      </c>
      <c r="AZ42" s="54">
        <v>86.297486041365133</v>
      </c>
      <c r="BA42" s="54">
        <v>0</v>
      </c>
      <c r="BB42" s="54">
        <v>0</v>
      </c>
      <c r="BD42" s="54">
        <f t="shared" si="10"/>
        <v>-570.87164111671973</v>
      </c>
      <c r="BE42" s="54">
        <f t="shared" si="11"/>
        <v>-570.87164111671973</v>
      </c>
      <c r="BF42" s="54">
        <f t="shared" si="12"/>
        <v>-4.031579386417512</v>
      </c>
      <c r="BG42" s="54">
        <f t="shared" si="13"/>
        <v>-4.031579386417512</v>
      </c>
    </row>
    <row r="43" spans="2:59" x14ac:dyDescent="0.25">
      <c r="B43" s="93">
        <v>6681.3186813186803</v>
      </c>
      <c r="C43" s="95">
        <v>1184.317513358651</v>
      </c>
      <c r="D43" s="95">
        <v>77.320222939419963</v>
      </c>
      <c r="E43" s="95">
        <v>3415.1735334171944</v>
      </c>
      <c r="F43" s="94">
        <v>397.26804786250693</v>
      </c>
      <c r="H43" s="92">
        <f t="shared" si="14"/>
        <v>6681.3186813186803</v>
      </c>
      <c r="I43" s="54">
        <f t="shared" si="15"/>
        <v>8.3638242468831283</v>
      </c>
      <c r="J43" s="54">
        <f t="shared" si="16"/>
        <v>24.118457156901091</v>
      </c>
      <c r="K43" s="54">
        <f t="shared" si="17"/>
        <v>77.320222939419963</v>
      </c>
      <c r="L43" s="64">
        <f t="shared" si="18"/>
        <v>397.26804786250693</v>
      </c>
      <c r="M43" s="56"/>
      <c r="N43" s="91">
        <v>5851.8839254336717</v>
      </c>
      <c r="O43" s="90">
        <v>16874.865800214175</v>
      </c>
      <c r="P43" s="54">
        <f t="shared" si="19"/>
        <v>5.8518839254336719</v>
      </c>
      <c r="Q43" s="54">
        <f t="shared" si="20"/>
        <v>16.874865800214174</v>
      </c>
      <c r="R43" s="90">
        <v>0.94025308450647826</v>
      </c>
      <c r="S43" s="89">
        <v>0.67740426563515621</v>
      </c>
      <c r="T43" s="88">
        <v>70.094324972109888</v>
      </c>
      <c r="U43" s="87">
        <f t="shared" si="21"/>
        <v>7.0094324972109892E-2</v>
      </c>
      <c r="AO43" s="91">
        <v>301.75109731259579</v>
      </c>
      <c r="AP43" s="89">
        <v>7965.8098550964069</v>
      </c>
      <c r="AQ43" s="5">
        <f t="shared" si="22"/>
        <v>0.30175109731259581</v>
      </c>
      <c r="AR43" s="41">
        <f t="shared" si="23"/>
        <v>7.9658098550964072</v>
      </c>
      <c r="AT43" s="54">
        <v>0</v>
      </c>
      <c r="AU43" s="54">
        <v>0</v>
      </c>
      <c r="AW43" s="54">
        <v>300</v>
      </c>
      <c r="AX43" s="54">
        <v>242.19991756748269</v>
      </c>
      <c r="AY43" s="54">
        <v>103.26151072975864</v>
      </c>
      <c r="AZ43" s="54">
        <v>88.629850528969598</v>
      </c>
      <c r="BA43" s="54">
        <v>0</v>
      </c>
      <c r="BB43" s="54">
        <v>0</v>
      </c>
      <c r="BD43" s="54">
        <f t="shared" si="10"/>
        <v>-556.82088915545512</v>
      </c>
      <c r="BE43" s="54">
        <f t="shared" si="11"/>
        <v>-556.82088915545512</v>
      </c>
      <c r="BF43" s="54">
        <f t="shared" si="12"/>
        <v>-3.9323509121147961</v>
      </c>
      <c r="BG43" s="54">
        <f t="shared" si="13"/>
        <v>-3.9323509121147961</v>
      </c>
    </row>
    <row r="44" spans="2:59" x14ac:dyDescent="0.25">
      <c r="B44" s="93">
        <v>6857.142857142856</v>
      </c>
      <c r="C44" s="95">
        <v>1182.4328797322019</v>
      </c>
      <c r="D44" s="95">
        <v>77.214804532564571</v>
      </c>
      <c r="E44" s="95">
        <v>3414.8211672933471</v>
      </c>
      <c r="F44" s="94">
        <v>397.24754375085524</v>
      </c>
      <c r="H44" s="92">
        <f t="shared" si="14"/>
        <v>6857.142857142856</v>
      </c>
      <c r="I44" s="54">
        <f t="shared" si="15"/>
        <v>8.3505146873743072</v>
      </c>
      <c r="J44" s="54">
        <f t="shared" si="16"/>
        <v>24.115968695574487</v>
      </c>
      <c r="K44" s="54">
        <f t="shared" si="17"/>
        <v>77.214804532564571</v>
      </c>
      <c r="L44" s="64">
        <f t="shared" si="18"/>
        <v>397.24754375085524</v>
      </c>
      <c r="M44" s="56"/>
      <c r="N44" s="91">
        <v>5996.323564696866</v>
      </c>
      <c r="O44" s="90">
        <v>17317.154305878448</v>
      </c>
      <c r="P44" s="54">
        <f t="shared" si="19"/>
        <v>5.9963235646968664</v>
      </c>
      <c r="Q44" s="54">
        <f t="shared" si="20"/>
        <v>17.31715430587845</v>
      </c>
      <c r="R44" s="90">
        <v>0.94124531459359984</v>
      </c>
      <c r="S44" s="89">
        <v>0.68296558247795369</v>
      </c>
      <c r="T44" s="88">
        <v>73.371912724793617</v>
      </c>
      <c r="U44" s="87">
        <f t="shared" si="21"/>
        <v>7.3371912724793625E-2</v>
      </c>
      <c r="AO44" s="91">
        <v>300.92884321721806</v>
      </c>
      <c r="AP44" s="89">
        <v>7964.9876010010303</v>
      </c>
      <c r="AQ44" s="5">
        <f t="shared" si="22"/>
        <v>0.30092884321721808</v>
      </c>
      <c r="AR44" s="41">
        <f t="shared" si="23"/>
        <v>7.9649876010010301</v>
      </c>
      <c r="AT44" s="54">
        <v>0</v>
      </c>
      <c r="AU44" s="54">
        <v>0</v>
      </c>
      <c r="AW44" s="54">
        <v>300</v>
      </c>
      <c r="AX44" s="54">
        <v>248.38026580291887</v>
      </c>
      <c r="AY44" s="54">
        <v>105.84137248920683</v>
      </c>
      <c r="AZ44" s="54">
        <v>90.962215016574063</v>
      </c>
      <c r="BA44" s="54">
        <v>0</v>
      </c>
      <c r="BB44" s="54">
        <v>0</v>
      </c>
      <c r="BD44" s="54">
        <f t="shared" si="10"/>
        <v>-543.4387558016972</v>
      </c>
      <c r="BE44" s="54">
        <f t="shared" si="11"/>
        <v>-543.4387558016972</v>
      </c>
      <c r="BF44" s="54">
        <f t="shared" si="12"/>
        <v>-3.8378443206334549</v>
      </c>
      <c r="BG44" s="54">
        <f t="shared" si="13"/>
        <v>-3.8378443206334549</v>
      </c>
    </row>
    <row r="45" spans="2:59" x14ac:dyDescent="0.25">
      <c r="B45" s="93">
        <v>7032.9670329670307</v>
      </c>
      <c r="C45" s="90">
        <v>1180.5098075743779</v>
      </c>
      <c r="D45" s="90">
        <v>77.106873518410566</v>
      </c>
      <c r="E45" s="90">
        <v>3414.4672327077315</v>
      </c>
      <c r="F45" s="89">
        <v>397.22657881978353</v>
      </c>
      <c r="H45" s="92">
        <f t="shared" si="14"/>
        <v>7032.9670329670307</v>
      </c>
      <c r="I45" s="54">
        <f t="shared" si="15"/>
        <v>8.3369336693105787</v>
      </c>
      <c r="J45" s="54">
        <f t="shared" si="16"/>
        <v>24.113469157540479</v>
      </c>
      <c r="K45" s="54">
        <f t="shared" si="17"/>
        <v>77.106873518410566</v>
      </c>
      <c r="L45" s="64">
        <f t="shared" si="18"/>
        <v>397.22657881978353</v>
      </c>
      <c r="N45" s="91">
        <v>6140.0731590262867</v>
      </c>
      <c r="O45" s="90">
        <v>17759.343017235034</v>
      </c>
      <c r="P45" s="54">
        <f t="shared" si="19"/>
        <v>6.1400731590262865</v>
      </c>
      <c r="Q45" s="54">
        <f t="shared" si="20"/>
        <v>17.759343017235036</v>
      </c>
      <c r="R45" s="90">
        <v>0.94217873814459974</v>
      </c>
      <c r="S45" s="89">
        <v>0.68833249251854178</v>
      </c>
      <c r="T45" s="88">
        <v>76.722987669960261</v>
      </c>
      <c r="U45" s="87">
        <f t="shared" si="21"/>
        <v>7.672298766996026E-2</v>
      </c>
      <c r="AO45" s="91">
        <v>300.08815326305125</v>
      </c>
      <c r="AP45" s="89">
        <v>7964.1469110468643</v>
      </c>
      <c r="AQ45" s="5">
        <f t="shared" si="22"/>
        <v>0.30008815326305127</v>
      </c>
      <c r="AR45" s="41">
        <f t="shared" si="23"/>
        <v>7.9641469110468641</v>
      </c>
      <c r="AT45" s="54">
        <v>0</v>
      </c>
      <c r="AU45" s="54">
        <v>0</v>
      </c>
      <c r="AW45" s="54">
        <v>300</v>
      </c>
      <c r="AX45" s="54">
        <v>254.56104825218122</v>
      </c>
      <c r="AY45" s="54">
        <v>108.41917790784561</v>
      </c>
      <c r="AZ45" s="54">
        <v>93.294579504178515</v>
      </c>
      <c r="BA45" s="54">
        <v>0</v>
      </c>
      <c r="BB45" s="54">
        <v>0</v>
      </c>
      <c r="BD45" s="54">
        <f t="shared" si="10"/>
        <v>-530.67857059182199</v>
      </c>
      <c r="BE45" s="54">
        <f t="shared" si="11"/>
        <v>-530.67857059182199</v>
      </c>
      <c r="BF45" s="54">
        <f t="shared" si="12"/>
        <v>-3.747730018303828</v>
      </c>
      <c r="BG45" s="54">
        <f t="shared" si="13"/>
        <v>-3.747730018303828</v>
      </c>
    </row>
    <row r="46" spans="2:59" x14ac:dyDescent="0.25">
      <c r="B46" s="93">
        <v>7208.7912087912082</v>
      </c>
      <c r="C46" s="90">
        <v>1178.5481182871683</v>
      </c>
      <c r="D46" s="90">
        <v>76.996419330691225</v>
      </c>
      <c r="E46" s="90">
        <v>3414.1117294119963</v>
      </c>
      <c r="F46" s="89">
        <v>397.20515299632399</v>
      </c>
      <c r="H46" s="92">
        <f t="shared" si="14"/>
        <v>7208.7912087912082</v>
      </c>
      <c r="I46" s="54">
        <f t="shared" si="15"/>
        <v>8.3230799314065571</v>
      </c>
      <c r="J46" s="54">
        <f t="shared" si="16"/>
        <v>24.110958541045171</v>
      </c>
      <c r="K46" s="54">
        <f t="shared" si="17"/>
        <v>76.996419330691225</v>
      </c>
      <c r="L46" s="64">
        <f t="shared" si="18"/>
        <v>397.20515299632399</v>
      </c>
      <c r="N46" s="91">
        <v>6283.116761773751</v>
      </c>
      <c r="O46" s="90">
        <v>18201.431321118118</v>
      </c>
      <c r="P46" s="54">
        <f t="shared" si="19"/>
        <v>6.2831167617737513</v>
      </c>
      <c r="Q46" s="54">
        <f t="shared" si="20"/>
        <v>18.201431321118118</v>
      </c>
      <c r="R46" s="90">
        <v>0.94305735864859086</v>
      </c>
      <c r="S46" s="89">
        <v>0.69351489832025393</v>
      </c>
      <c r="T46" s="88">
        <v>80.147549807609906</v>
      </c>
      <c r="U46" s="87">
        <f t="shared" si="21"/>
        <v>8.0147549807609908E-2</v>
      </c>
      <c r="AO46" s="91">
        <v>299.22902745009566</v>
      </c>
      <c r="AP46" s="89">
        <v>7963.2877852339079</v>
      </c>
      <c r="AQ46" s="5">
        <f t="shared" si="22"/>
        <v>0.29922902745009566</v>
      </c>
      <c r="AR46" s="41">
        <f t="shared" si="23"/>
        <v>7.9632877852339083</v>
      </c>
      <c r="AT46" s="54">
        <v>0</v>
      </c>
      <c r="AU46" s="54">
        <v>0</v>
      </c>
      <c r="AW46" s="54">
        <v>300</v>
      </c>
      <c r="AX46" s="54">
        <v>260.74215240923718</v>
      </c>
      <c r="AY46" s="54">
        <v>110.99487657078969</v>
      </c>
      <c r="AZ46" s="54">
        <v>95.62694399178298</v>
      </c>
      <c r="BA46" s="54">
        <v>0</v>
      </c>
      <c r="BB46" s="54">
        <v>0</v>
      </c>
      <c r="BD46" s="54">
        <f t="shared" si="10"/>
        <v>-518.49790613815594</v>
      </c>
      <c r="BE46" s="54">
        <f t="shared" si="11"/>
        <v>-518.49790613815594</v>
      </c>
      <c r="BF46" s="54">
        <f t="shared" si="12"/>
        <v>-3.6617083766818923</v>
      </c>
      <c r="BG46" s="54">
        <f t="shared" si="13"/>
        <v>-3.6617083766818923</v>
      </c>
    </row>
    <row r="47" spans="2:59" x14ac:dyDescent="0.25">
      <c r="B47" s="93">
        <v>7384.6153846153829</v>
      </c>
      <c r="C47" s="90">
        <v>1176.5476280590099</v>
      </c>
      <c r="D47" s="90">
        <v>76.883431094694146</v>
      </c>
      <c r="E47" s="90">
        <v>3413.7546571522662</v>
      </c>
      <c r="F47" s="89">
        <v>397.18326620588891</v>
      </c>
      <c r="H47" s="92">
        <f t="shared" si="14"/>
        <v>7384.6153846153829</v>
      </c>
      <c r="I47" s="54">
        <f t="shared" si="15"/>
        <v>8.3089521755579803</v>
      </c>
      <c r="J47" s="54">
        <f t="shared" si="16"/>
        <v>24.108436844295667</v>
      </c>
      <c r="K47" s="54">
        <f t="shared" si="17"/>
        <v>76.883431094694146</v>
      </c>
      <c r="L47" s="64">
        <f t="shared" si="18"/>
        <v>397.18326620588891</v>
      </c>
      <c r="N47" s="91">
        <v>6425.4383049260005</v>
      </c>
      <c r="O47" s="90">
        <v>18643.418604202521</v>
      </c>
      <c r="P47" s="54">
        <f t="shared" si="19"/>
        <v>6.4254383049260007</v>
      </c>
      <c r="Q47" s="54">
        <f t="shared" si="20"/>
        <v>18.643418604202523</v>
      </c>
      <c r="R47" s="90">
        <v>0.94388481236083921</v>
      </c>
      <c r="S47" s="89">
        <v>0.69852204109399418</v>
      </c>
      <c r="T47" s="88">
        <v>83.645599137742494</v>
      </c>
      <c r="U47" s="87">
        <f t="shared" si="21"/>
        <v>8.3645599137742499E-2</v>
      </c>
      <c r="AO47" s="91">
        <v>298.3514657783511</v>
      </c>
      <c r="AP47" s="89">
        <v>7962.4102235621604</v>
      </c>
      <c r="AQ47" s="5">
        <f t="shared" si="22"/>
        <v>0.29835146577835109</v>
      </c>
      <c r="AR47" s="41">
        <f t="shared" si="23"/>
        <v>7.9624102235621601</v>
      </c>
      <c r="AT47" s="54">
        <v>0</v>
      </c>
      <c r="AU47" s="54">
        <v>0</v>
      </c>
      <c r="AW47" s="54">
        <v>300</v>
      </c>
      <c r="AX47" s="54">
        <v>266.92347431844115</v>
      </c>
      <c r="AY47" s="54">
        <v>113.56841806070321</v>
      </c>
      <c r="AZ47" s="54">
        <v>97.95930847938746</v>
      </c>
      <c r="BA47" s="54">
        <v>0</v>
      </c>
      <c r="BB47" s="54">
        <v>0</v>
      </c>
      <c r="BD47" s="54">
        <f t="shared" si="10"/>
        <v>-506.85810659831873</v>
      </c>
      <c r="BE47" s="54">
        <f t="shared" si="11"/>
        <v>-506.85810659831873</v>
      </c>
      <c r="BF47" s="54">
        <f t="shared" si="12"/>
        <v>-3.5795064025304995</v>
      </c>
      <c r="BG47" s="54">
        <f t="shared" si="13"/>
        <v>-3.5795064025304995</v>
      </c>
    </row>
    <row r="48" spans="2:59" x14ac:dyDescent="0.25">
      <c r="B48" s="93">
        <v>7560.4395604395586</v>
      </c>
      <c r="C48" s="90">
        <v>1174.5081477667311</v>
      </c>
      <c r="D48" s="90">
        <v>76.767897621460136</v>
      </c>
      <c r="E48" s="90">
        <v>3405.0431567946589</v>
      </c>
      <c r="F48" s="89">
        <v>397.16091837226941</v>
      </c>
      <c r="H48" s="92">
        <f t="shared" si="14"/>
        <v>7560.4395604395586</v>
      </c>
      <c r="I48" s="54">
        <f t="shared" si="15"/>
        <v>8.2945490661492318</v>
      </c>
      <c r="J48" s="54">
        <f t="shared" si="16"/>
        <v>24.046914949114825</v>
      </c>
      <c r="K48" s="54">
        <f t="shared" si="17"/>
        <v>76.767897621460136</v>
      </c>
      <c r="L48" s="64">
        <f t="shared" si="18"/>
        <v>397.16091837226941</v>
      </c>
      <c r="N48" s="91">
        <v>6567.0215951668479</v>
      </c>
      <c r="O48" s="90">
        <v>19038.600954505029</v>
      </c>
      <c r="P48" s="54">
        <f t="shared" si="19"/>
        <v>6.5670215951668478</v>
      </c>
      <c r="Q48" s="54">
        <f t="shared" si="20"/>
        <v>19.038600954505029</v>
      </c>
      <c r="R48" s="90">
        <v>0.94466440902652671</v>
      </c>
      <c r="S48" s="89">
        <v>0.7028511281324652</v>
      </c>
      <c r="T48" s="88">
        <v>87.217135660358011</v>
      </c>
      <c r="U48" s="87">
        <f t="shared" si="21"/>
        <v>8.7217135660358019E-2</v>
      </c>
      <c r="AO48" s="91">
        <v>297.45546824781746</v>
      </c>
      <c r="AP48" s="89">
        <v>7961.5142260316279</v>
      </c>
      <c r="AQ48" s="5">
        <f t="shared" si="22"/>
        <v>0.29745546824781749</v>
      </c>
      <c r="AR48" s="41">
        <f t="shared" si="23"/>
        <v>7.9615142260316283</v>
      </c>
      <c r="AT48" s="54">
        <v>4.0000000000000009</v>
      </c>
      <c r="AU48" s="54">
        <v>0</v>
      </c>
      <c r="AW48" s="54">
        <v>300</v>
      </c>
      <c r="AX48" s="54">
        <v>269.85239408755666</v>
      </c>
      <c r="AY48" s="54">
        <v>116.13975193258139</v>
      </c>
      <c r="AZ48" s="54">
        <v>100.29167296699191</v>
      </c>
      <c r="BA48" s="54">
        <v>0</v>
      </c>
      <c r="BB48" s="54">
        <v>0</v>
      </c>
      <c r="BD48" s="54">
        <f t="shared" si="10"/>
        <v>-495.72387765662364</v>
      </c>
      <c r="BE48" s="54">
        <f t="shared" si="11"/>
        <v>-495.72387765662364</v>
      </c>
      <c r="BF48" s="54">
        <f t="shared" si="12"/>
        <v>-3.5008748422077942</v>
      </c>
      <c r="BG48" s="54">
        <f t="shared" si="13"/>
        <v>-3.5008748422077942</v>
      </c>
    </row>
    <row r="49" spans="2:59" x14ac:dyDescent="0.25">
      <c r="B49" s="93">
        <v>7736.2637362637352</v>
      </c>
      <c r="C49" s="90">
        <v>1172.4294828737422</v>
      </c>
      <c r="D49" s="90">
        <v>76.649807401759659</v>
      </c>
      <c r="E49" s="90">
        <v>3356.7037397408894</v>
      </c>
      <c r="F49" s="89">
        <v>397.13810941763364</v>
      </c>
      <c r="H49" s="92">
        <f t="shared" si="14"/>
        <v>7736.2637362637352</v>
      </c>
      <c r="I49" s="54">
        <f t="shared" si="15"/>
        <v>8.2798692293343379</v>
      </c>
      <c r="J49" s="54">
        <f t="shared" si="16"/>
        <v>23.705534885175773</v>
      </c>
      <c r="K49" s="54">
        <f t="shared" si="17"/>
        <v>76.649807401759659</v>
      </c>
      <c r="L49" s="64">
        <f t="shared" si="18"/>
        <v>397.13810941763364</v>
      </c>
      <c r="N49" s="91">
        <v>6707.8503098413548</v>
      </c>
      <c r="O49" s="90">
        <v>19204.793592768525</v>
      </c>
      <c r="P49" s="54">
        <f t="shared" si="19"/>
        <v>6.7078503098413549</v>
      </c>
      <c r="Q49" s="54">
        <f t="shared" si="20"/>
        <v>19.204793592768524</v>
      </c>
      <c r="R49" s="90">
        <v>0.94539916728830142</v>
      </c>
      <c r="S49" s="89">
        <v>0.70459245436169238</v>
      </c>
      <c r="T49" s="88">
        <v>90.862159375456514</v>
      </c>
      <c r="U49" s="87">
        <f t="shared" si="21"/>
        <v>9.0862159375456511E-2</v>
      </c>
      <c r="AO49" s="91">
        <v>296.54103485849481</v>
      </c>
      <c r="AP49" s="89">
        <v>7960.599792642307</v>
      </c>
      <c r="AQ49" s="5">
        <f t="shared" si="22"/>
        <v>0.29654103485849481</v>
      </c>
      <c r="AR49" s="41">
        <f t="shared" si="23"/>
        <v>7.9605997926423075</v>
      </c>
      <c r="AT49" s="54">
        <v>10.399999999999995</v>
      </c>
      <c r="AU49" s="54">
        <v>0</v>
      </c>
      <c r="AW49" s="54">
        <v>300</v>
      </c>
      <c r="AX49" s="54">
        <v>269.95447111236268</v>
      </c>
      <c r="AY49" s="54">
        <v>118.70882769083818</v>
      </c>
      <c r="AZ49" s="54">
        <v>102.62403745459638</v>
      </c>
      <c r="BA49" s="54">
        <v>0</v>
      </c>
      <c r="BB49" s="54">
        <v>0</v>
      </c>
      <c r="BD49" s="54">
        <f t="shared" si="10"/>
        <v>-485.062928854897</v>
      </c>
      <c r="BE49" s="54">
        <f t="shared" si="11"/>
        <v>-485.062928854897</v>
      </c>
      <c r="BF49" s="54">
        <f t="shared" si="12"/>
        <v>-3.4255856557549222</v>
      </c>
      <c r="BG49" s="54">
        <f t="shared" si="13"/>
        <v>-3.4255856557549222</v>
      </c>
    </row>
    <row r="50" spans="2:59" x14ac:dyDescent="0.25">
      <c r="B50" s="93">
        <v>7912.0879120879099</v>
      </c>
      <c r="C50" s="90">
        <v>1170.3114333243182</v>
      </c>
      <c r="D50" s="90">
        <v>76.529148599838621</v>
      </c>
      <c r="E50" s="90">
        <v>3313.0519089212889</v>
      </c>
      <c r="F50" s="89">
        <v>388.96232090752801</v>
      </c>
      <c r="H50" s="92">
        <f t="shared" si="14"/>
        <v>7912.0879120879099</v>
      </c>
      <c r="I50" s="54">
        <f t="shared" si="15"/>
        <v>8.264911252290382</v>
      </c>
      <c r="J50" s="54">
        <f t="shared" si="16"/>
        <v>23.397259243794416</v>
      </c>
      <c r="K50" s="54">
        <f t="shared" si="17"/>
        <v>76.529148599838621</v>
      </c>
      <c r="L50" s="64">
        <f t="shared" si="18"/>
        <v>388.96232090752801</v>
      </c>
      <c r="N50" s="91">
        <v>6847.9079928176907</v>
      </c>
      <c r="O50" s="90">
        <v>19385.843803368894</v>
      </c>
      <c r="P50" s="54">
        <f t="shared" si="19"/>
        <v>6.8479079928176905</v>
      </c>
      <c r="Q50" s="54">
        <f t="shared" si="20"/>
        <v>19.385843803368896</v>
      </c>
      <c r="R50" s="90">
        <v>0.94609184556931114</v>
      </c>
      <c r="S50" s="89">
        <v>0.71489682855934478</v>
      </c>
      <c r="T50" s="88">
        <v>94.580670283037946</v>
      </c>
      <c r="U50" s="87">
        <f t="shared" si="21"/>
        <v>9.4580670283037946E-2</v>
      </c>
      <c r="AO50" s="91">
        <v>295.60816561038337</v>
      </c>
      <c r="AP50" s="89">
        <v>7636.2076355437293</v>
      </c>
      <c r="AQ50" s="5">
        <f t="shared" si="22"/>
        <v>0.29560816561038339</v>
      </c>
      <c r="AR50" s="41">
        <f t="shared" si="23"/>
        <v>7.6362076355437294</v>
      </c>
      <c r="AT50" s="54">
        <v>11.79999999999999</v>
      </c>
      <c r="AU50" s="54">
        <v>0</v>
      </c>
      <c r="AW50" s="54">
        <v>300</v>
      </c>
      <c r="AX50" s="54">
        <v>269.05351871905208</v>
      </c>
      <c r="AY50" s="54">
        <v>121.2755947683094</v>
      </c>
      <c r="AZ50" s="54">
        <v>104.95640194220084</v>
      </c>
      <c r="BA50" s="54">
        <v>0</v>
      </c>
      <c r="BB50" s="54">
        <v>0</v>
      </c>
      <c r="BD50" s="54">
        <f t="shared" si="10"/>
        <v>-474.84566063741016</v>
      </c>
      <c r="BE50" s="54">
        <f t="shared" si="11"/>
        <v>-474.84566063741016</v>
      </c>
      <c r="BF50" s="54">
        <f t="shared" si="12"/>
        <v>-3.3534298067613713</v>
      </c>
      <c r="BG50" s="54">
        <f t="shared" si="13"/>
        <v>-3.3534298067613713</v>
      </c>
    </row>
    <row r="51" spans="2:59" x14ac:dyDescent="0.25">
      <c r="B51" s="93">
        <v>8087.9120879120865</v>
      </c>
      <c r="C51" s="90">
        <v>1168.153793433846</v>
      </c>
      <c r="D51" s="90">
        <v>76.405909046925004</v>
      </c>
      <c r="E51" s="90">
        <v>3266.0187848850137</v>
      </c>
      <c r="F51" s="89">
        <v>376.39340141325914</v>
      </c>
      <c r="H51" s="92">
        <f t="shared" si="14"/>
        <v>8087.9120879120865</v>
      </c>
      <c r="I51" s="54">
        <f t="shared" si="15"/>
        <v>8.2496736824424151</v>
      </c>
      <c r="J51" s="54">
        <f t="shared" si="16"/>
        <v>23.065104413029758</v>
      </c>
      <c r="K51" s="54">
        <f t="shared" si="17"/>
        <v>76.405909046925004</v>
      </c>
      <c r="L51" s="64">
        <f t="shared" si="18"/>
        <v>376.39340141325914</v>
      </c>
      <c r="N51" s="91">
        <v>6987.1780502424062</v>
      </c>
      <c r="O51" s="90">
        <v>19535.317090694603</v>
      </c>
      <c r="P51" s="54">
        <f t="shared" si="19"/>
        <v>6.9871780502424068</v>
      </c>
      <c r="Q51" s="54">
        <f t="shared" si="20"/>
        <v>19.535317090694605</v>
      </c>
      <c r="R51" s="90">
        <v>0.94674496909148687</v>
      </c>
      <c r="S51" s="89">
        <v>0.72934571873732945</v>
      </c>
      <c r="T51" s="88">
        <v>98.372668383102365</v>
      </c>
      <c r="U51" s="87">
        <f t="shared" si="21"/>
        <v>9.8372668383102366E-2</v>
      </c>
      <c r="AO51" s="91">
        <v>294.6568605034829</v>
      </c>
      <c r="AP51" s="89">
        <v>7150.668835036885</v>
      </c>
      <c r="AQ51" s="5">
        <f t="shared" si="22"/>
        <v>0.29465686050348289</v>
      </c>
      <c r="AR51" s="41">
        <f t="shared" si="23"/>
        <v>7.1506688350368854</v>
      </c>
      <c r="AT51" s="54">
        <v>12.199999999999989</v>
      </c>
      <c r="AU51" s="54">
        <v>0</v>
      </c>
      <c r="AW51" s="54">
        <v>300</v>
      </c>
      <c r="AX51" s="54">
        <v>265.96715232614451</v>
      </c>
      <c r="AY51" s="54">
        <v>123.84000250684609</v>
      </c>
      <c r="AZ51" s="54">
        <v>107.28876642980531</v>
      </c>
      <c r="BA51" s="54">
        <v>0</v>
      </c>
      <c r="BB51" s="54">
        <v>0</v>
      </c>
      <c r="BD51" s="54">
        <f t="shared" si="10"/>
        <v>-465.04488972133629</v>
      </c>
      <c r="BE51" s="54">
        <f t="shared" si="11"/>
        <v>-465.04488972133629</v>
      </c>
      <c r="BF51" s="54">
        <f t="shared" si="12"/>
        <v>-3.2842153228907933</v>
      </c>
      <c r="BG51" s="54">
        <f t="shared" si="13"/>
        <v>-3.2842153228907933</v>
      </c>
    </row>
    <row r="52" spans="2:59" x14ac:dyDescent="0.25">
      <c r="B52" s="93">
        <v>8263.7362637362621</v>
      </c>
      <c r="C52" s="90">
        <v>1165.9563517748772</v>
      </c>
      <c r="D52" s="90">
        <v>76.280076234487552</v>
      </c>
      <c r="E52" s="90">
        <v>3243.3664152704591</v>
      </c>
      <c r="F52" s="89">
        <v>370.41533868772945</v>
      </c>
      <c r="H52" s="92">
        <f t="shared" si="14"/>
        <v>8263.7362637362621</v>
      </c>
      <c r="I52" s="54">
        <f t="shared" si="15"/>
        <v>8.2341550266587387</v>
      </c>
      <c r="J52" s="54">
        <f t="shared" si="16"/>
        <v>22.905130051345051</v>
      </c>
      <c r="K52" s="54">
        <f t="shared" si="17"/>
        <v>76.280076234487552</v>
      </c>
      <c r="L52" s="64">
        <f t="shared" si="18"/>
        <v>370.41533868772945</v>
      </c>
      <c r="N52" s="91">
        <v>7125.6437461844162</v>
      </c>
      <c r="O52" s="90">
        <v>19821.559853742106</v>
      </c>
      <c r="P52" s="54">
        <f t="shared" si="19"/>
        <v>7.1256437461844166</v>
      </c>
      <c r="Q52" s="54">
        <f t="shared" si="20"/>
        <v>19.821559853742105</v>
      </c>
      <c r="R52" s="90">
        <v>0.94736085358105815</v>
      </c>
      <c r="S52" s="89">
        <v>0.73824706688227171</v>
      </c>
      <c r="T52" s="88">
        <v>102.23815367564974</v>
      </c>
      <c r="U52" s="87">
        <f t="shared" si="21"/>
        <v>0.10223815367564974</v>
      </c>
      <c r="AO52" s="91">
        <v>293.68711953779336</v>
      </c>
      <c r="AP52" s="89">
        <v>6925.3318275487809</v>
      </c>
      <c r="AQ52" s="5">
        <f t="shared" si="22"/>
        <v>0.29368711953779336</v>
      </c>
      <c r="AR52" s="41">
        <f t="shared" si="23"/>
        <v>6.9253318275487814</v>
      </c>
      <c r="AT52" s="54">
        <v>12.399999999999988</v>
      </c>
      <c r="AU52" s="54">
        <v>0</v>
      </c>
      <c r="AW52" s="54">
        <v>300</v>
      </c>
      <c r="AX52" s="54">
        <v>267.26609349782177</v>
      </c>
      <c r="AY52" s="54">
        <v>126.40200013922222</v>
      </c>
      <c r="AZ52" s="54">
        <v>109.62113091740976</v>
      </c>
      <c r="BA52" s="54">
        <v>0</v>
      </c>
      <c r="BB52" s="54">
        <v>0</v>
      </c>
      <c r="BD52" s="54">
        <f t="shared" si="10"/>
        <v>-455.63560742646138</v>
      </c>
      <c r="BE52" s="54">
        <f t="shared" si="11"/>
        <v>-455.63560742646138</v>
      </c>
      <c r="BF52" s="54">
        <f t="shared" si="12"/>
        <v>-3.2177655891699253</v>
      </c>
      <c r="BG52" s="54">
        <f t="shared" si="13"/>
        <v>-3.2177655891699253</v>
      </c>
    </row>
    <row r="53" spans="2:59" x14ac:dyDescent="0.25">
      <c r="B53" s="93">
        <v>8439.5604395604387</v>
      </c>
      <c r="C53" s="90">
        <v>1163.7188910588302</v>
      </c>
      <c r="D53" s="90">
        <v>76.151637307236882</v>
      </c>
      <c r="E53" s="90">
        <v>3221.3402521715743</v>
      </c>
      <c r="F53" s="89">
        <v>364.62857355372796</v>
      </c>
      <c r="H53" s="92">
        <f t="shared" si="14"/>
        <v>8439.5604395604387</v>
      </c>
      <c r="I53" s="54">
        <f t="shared" si="15"/>
        <v>8.2183537504154671</v>
      </c>
      <c r="J53" s="54">
        <f t="shared" si="16"/>
        <v>22.749578052059142</v>
      </c>
      <c r="K53" s="54">
        <f t="shared" si="17"/>
        <v>76.151637307236882</v>
      </c>
      <c r="L53" s="64">
        <f t="shared" si="18"/>
        <v>364.62857355372796</v>
      </c>
      <c r="N53" s="91">
        <v>7263.288198162948</v>
      </c>
      <c r="O53" s="90">
        <v>20105.820070151476</v>
      </c>
      <c r="P53" s="54">
        <f t="shared" si="19"/>
        <v>7.2632881981629485</v>
      </c>
      <c r="Q53" s="54">
        <f t="shared" si="20"/>
        <v>20.105820070151477</v>
      </c>
      <c r="R53" s="90">
        <v>0.94794162612498001</v>
      </c>
      <c r="S53" s="89">
        <v>0.7467894537341494</v>
      </c>
      <c r="T53" s="88">
        <v>106.17712616068006</v>
      </c>
      <c r="U53" s="87">
        <f t="shared" si="21"/>
        <v>0.10617712616068006</v>
      </c>
      <c r="AO53" s="91">
        <v>292.69894271331486</v>
      </c>
      <c r="AP53" s="89">
        <v>6710.6418334350046</v>
      </c>
      <c r="AQ53" s="5">
        <f t="shared" si="22"/>
        <v>0.29269894271331487</v>
      </c>
      <c r="AR53" s="41">
        <f t="shared" si="23"/>
        <v>6.7106418334350044</v>
      </c>
      <c r="AT53" s="54">
        <v>12.599999999999987</v>
      </c>
      <c r="AU53" s="54">
        <v>0</v>
      </c>
      <c r="AW53" s="54">
        <v>300</v>
      </c>
      <c r="AX53" s="54">
        <v>268.52487674983757</v>
      </c>
      <c r="AY53" s="54">
        <v>128.96153677212288</v>
      </c>
      <c r="AZ53" s="54">
        <v>111.95349540501422</v>
      </c>
      <c r="BA53" s="54">
        <v>0</v>
      </c>
      <c r="BB53" s="54">
        <v>0</v>
      </c>
      <c r="BD53" s="54">
        <f t="shared" si="10"/>
        <v>-446.59476643974426</v>
      </c>
      <c r="BE53" s="54">
        <f t="shared" si="11"/>
        <v>-446.59476643974426</v>
      </c>
      <c r="BF53" s="54">
        <f t="shared" si="12"/>
        <v>-3.1539178420885894</v>
      </c>
      <c r="BG53" s="54">
        <f t="shared" si="13"/>
        <v>-3.1539178420885894</v>
      </c>
    </row>
    <row r="54" spans="2:59" x14ac:dyDescent="0.25">
      <c r="B54" s="93">
        <v>8615.3846153846152</v>
      </c>
      <c r="C54" s="90">
        <v>1161.4411880131672</v>
      </c>
      <c r="D54" s="90">
        <v>76.020579055859187</v>
      </c>
      <c r="E54" s="90">
        <v>3199.9097964118146</v>
      </c>
      <c r="F54" s="89">
        <v>359.02414051765783</v>
      </c>
      <c r="H54" s="92">
        <f t="shared" si="14"/>
        <v>8615.3846153846152</v>
      </c>
      <c r="I54" s="54">
        <f t="shared" si="15"/>
        <v>8.2022682769291482</v>
      </c>
      <c r="J54" s="54">
        <f t="shared" si="16"/>
        <v>22.598233025507167</v>
      </c>
      <c r="K54" s="54">
        <f t="shared" si="17"/>
        <v>76.020579055859187</v>
      </c>
      <c r="L54" s="64">
        <f t="shared" si="18"/>
        <v>359.02414051765783</v>
      </c>
      <c r="N54" s="91">
        <v>7400.0943725543602</v>
      </c>
      <c r="O54" s="90">
        <v>20388.147692279173</v>
      </c>
      <c r="P54" s="54">
        <f t="shared" si="19"/>
        <v>7.40009437255436</v>
      </c>
      <c r="Q54" s="54">
        <f t="shared" si="20"/>
        <v>20.388147692279173</v>
      </c>
      <c r="R54" s="90">
        <v>0.94848924356917264</v>
      </c>
      <c r="S54" s="89">
        <v>0.75498642866696863</v>
      </c>
      <c r="T54" s="88">
        <v>110.18958583819337</v>
      </c>
      <c r="U54" s="87">
        <f t="shared" si="21"/>
        <v>0.11018958583819337</v>
      </c>
      <c r="AO54" s="91">
        <v>291.69233003004751</v>
      </c>
      <c r="AP54" s="89">
        <v>6505.9386754566576</v>
      </c>
      <c r="AQ54" s="5">
        <f t="shared" si="22"/>
        <v>0.29169233003004752</v>
      </c>
      <c r="AR54" s="41">
        <f t="shared" si="23"/>
        <v>6.5059386754566582</v>
      </c>
      <c r="AT54" s="54">
        <v>12.799999999999986</v>
      </c>
      <c r="AU54" s="54">
        <v>0</v>
      </c>
      <c r="AW54" s="54">
        <v>300</v>
      </c>
      <c r="AX54" s="54">
        <v>269.74572357090443</v>
      </c>
      <c r="AY54" s="54">
        <v>131.51856137001437</v>
      </c>
      <c r="AZ54" s="54">
        <v>114.2858598926187</v>
      </c>
      <c r="BA54" s="54">
        <v>0</v>
      </c>
      <c r="BB54" s="54">
        <v>0</v>
      </c>
      <c r="BD54" s="54">
        <f t="shared" si="10"/>
        <v>-437.90109218646489</v>
      </c>
      <c r="BE54" s="54">
        <f t="shared" si="11"/>
        <v>-437.90109218646489</v>
      </c>
      <c r="BF54" s="54">
        <f t="shared" si="12"/>
        <v>-3.0925218374750347</v>
      </c>
      <c r="BG54" s="54">
        <f t="shared" si="13"/>
        <v>-3.0925218374750347</v>
      </c>
    </row>
    <row r="55" spans="2:59" x14ac:dyDescent="0.25">
      <c r="B55" s="93">
        <v>8791.20879120879</v>
      </c>
      <c r="C55" s="90">
        <v>1159.1230132538819</v>
      </c>
      <c r="D55" s="90">
        <v>75.886887909472108</v>
      </c>
      <c r="E55" s="90">
        <v>3159.0058367614965</v>
      </c>
      <c r="F55" s="89">
        <v>348.32912571019551</v>
      </c>
      <c r="H55" s="92">
        <f t="shared" si="14"/>
        <v>8791.20879120879</v>
      </c>
      <c r="I55" s="54">
        <f t="shared" si="15"/>
        <v>8.1858969862562283</v>
      </c>
      <c r="J55" s="54">
        <f t="shared" si="16"/>
        <v>22.309363253965373</v>
      </c>
      <c r="K55" s="54">
        <f t="shared" si="17"/>
        <v>75.886887909472108</v>
      </c>
      <c r="L55" s="64">
        <f t="shared" si="18"/>
        <v>348.32912571019551</v>
      </c>
      <c r="N55" s="91">
        <v>7536.0450798726415</v>
      </c>
      <c r="O55" s="90">
        <v>20538.29500510584</v>
      </c>
      <c r="P55" s="54">
        <f t="shared" si="19"/>
        <v>7.5360450798726415</v>
      </c>
      <c r="Q55" s="54">
        <f t="shared" si="20"/>
        <v>20.538295005105841</v>
      </c>
      <c r="R55" s="90">
        <v>0.94900550878933387</v>
      </c>
      <c r="S55" s="89">
        <v>0.76701095013198206</v>
      </c>
      <c r="T55" s="88">
        <v>114.27553270818957</v>
      </c>
      <c r="U55" s="87">
        <f t="shared" si="21"/>
        <v>0.11427553270818958</v>
      </c>
      <c r="AO55" s="91">
        <v>290.66728148799109</v>
      </c>
      <c r="AP55" s="89">
        <v>6124.0995590588254</v>
      </c>
      <c r="AQ55" s="5">
        <f t="shared" si="22"/>
        <v>0.29066728148799109</v>
      </c>
      <c r="AR55" s="41">
        <f t="shared" si="23"/>
        <v>6.1240995590588252</v>
      </c>
      <c r="AT55" s="54">
        <v>13.199999999999985</v>
      </c>
      <c r="AU55" s="54">
        <v>0</v>
      </c>
      <c r="AW55" s="54">
        <v>300</v>
      </c>
      <c r="AX55" s="54">
        <v>266.89168426298954</v>
      </c>
      <c r="AY55" s="54">
        <v>134.07302273972343</v>
      </c>
      <c r="AZ55" s="54">
        <v>116.61822438022315</v>
      </c>
      <c r="BA55" s="54">
        <v>0</v>
      </c>
      <c r="BB55" s="54">
        <v>0</v>
      </c>
      <c r="BD55" s="54">
        <f t="shared" si="10"/>
        <v>-429.53491555761934</v>
      </c>
      <c r="BE55" s="54">
        <f t="shared" si="11"/>
        <v>-429.53491555761934</v>
      </c>
      <c r="BF55" s="54">
        <f t="shared" si="12"/>
        <v>-3.0334386691922273</v>
      </c>
      <c r="BG55" s="54">
        <f t="shared" si="13"/>
        <v>-3.0334386691922273</v>
      </c>
    </row>
    <row r="56" spans="2:59" x14ac:dyDescent="0.25">
      <c r="B56" s="93">
        <v>8967.0329670329647</v>
      </c>
      <c r="C56" s="90">
        <v>1156.7641311531008</v>
      </c>
      <c r="D56" s="90">
        <v>75.750549927791923</v>
      </c>
      <c r="E56" s="90">
        <v>3139.1975918437897</v>
      </c>
      <c r="F56" s="89">
        <v>343.22320824279745</v>
      </c>
      <c r="H56" s="92">
        <f t="shared" si="14"/>
        <v>8967.0329670329647</v>
      </c>
      <c r="I56" s="54">
        <f t="shared" si="15"/>
        <v>8.1692382143580566</v>
      </c>
      <c r="J56" s="54">
        <f t="shared" si="16"/>
        <v>22.169474518670832</v>
      </c>
      <c r="K56" s="54">
        <f t="shared" si="17"/>
        <v>75.750549927791923</v>
      </c>
      <c r="L56" s="64">
        <f t="shared" si="18"/>
        <v>343.22320824279745</v>
      </c>
      <c r="N56" s="91">
        <v>7671.1229699180403</v>
      </c>
      <c r="O56" s="90">
        <v>20817.701816099176</v>
      </c>
      <c r="P56" s="54">
        <f t="shared" si="19"/>
        <v>7.6711229699180405</v>
      </c>
      <c r="Q56" s="54">
        <f t="shared" si="20"/>
        <v>20.817701816099177</v>
      </c>
      <c r="R56" s="90">
        <v>0.94949208511512539</v>
      </c>
      <c r="S56" s="89">
        <v>0.77439871907523483</v>
      </c>
      <c r="T56" s="88">
        <v>118.43496677066878</v>
      </c>
      <c r="U56" s="87">
        <f t="shared" si="21"/>
        <v>0.11843496677066878</v>
      </c>
      <c r="AO56" s="91">
        <v>289.62379708714576</v>
      </c>
      <c r="AP56" s="89">
        <v>5945.8774803229571</v>
      </c>
      <c r="AQ56" s="5">
        <f t="shared" si="22"/>
        <v>0.28962379708714575</v>
      </c>
      <c r="AR56" s="41">
        <f t="shared" si="23"/>
        <v>5.9458774803229568</v>
      </c>
      <c r="AT56" s="54">
        <v>13.399999999999984</v>
      </c>
      <c r="AU56" s="54">
        <v>0</v>
      </c>
      <c r="AW56" s="54">
        <v>300</v>
      </c>
      <c r="AX56" s="54">
        <v>268.08934258186582</v>
      </c>
      <c r="AY56" s="54">
        <v>136.62486951557867</v>
      </c>
      <c r="AZ56" s="54">
        <v>118.95058886782762</v>
      </c>
      <c r="BA56" s="54">
        <v>0</v>
      </c>
      <c r="BB56" s="54">
        <v>0</v>
      </c>
      <c r="BD56" s="54">
        <f t="shared" si="10"/>
        <v>-421.47802422481396</v>
      </c>
      <c r="BE56" s="54">
        <f t="shared" si="11"/>
        <v>-421.47802422481396</v>
      </c>
      <c r="BF56" s="54">
        <f t="shared" si="12"/>
        <v>-2.9765397191017935</v>
      </c>
      <c r="BG56" s="54">
        <f t="shared" si="13"/>
        <v>-2.9765397191017935</v>
      </c>
    </row>
    <row r="57" spans="2:59" x14ac:dyDescent="0.25">
      <c r="B57" s="93">
        <v>9142.8571428571413</v>
      </c>
      <c r="C57" s="90">
        <v>1154.3642997016136</v>
      </c>
      <c r="D57" s="90">
        <v>75.611550793000347</v>
      </c>
      <c r="E57" s="90">
        <v>3119.8804797472467</v>
      </c>
      <c r="F57" s="89">
        <v>338.26887872740883</v>
      </c>
      <c r="H57" s="92">
        <f t="shared" si="14"/>
        <v>9142.8571428571413</v>
      </c>
      <c r="I57" s="54">
        <f t="shared" si="15"/>
        <v>8.1522902521300402</v>
      </c>
      <c r="J57" s="54">
        <f t="shared" si="16"/>
        <v>22.033054235503155</v>
      </c>
      <c r="K57" s="54">
        <f t="shared" si="17"/>
        <v>75.611550793000347</v>
      </c>
      <c r="L57" s="64">
        <f t="shared" si="18"/>
        <v>338.26887872740883</v>
      </c>
      <c r="N57" s="91">
        <v>7805.3105267880874</v>
      </c>
      <c r="O57" s="90">
        <v>21095.278117303518</v>
      </c>
      <c r="P57" s="54">
        <f t="shared" si="19"/>
        <v>7.8053105267880873</v>
      </c>
      <c r="Q57" s="54">
        <f t="shared" si="20"/>
        <v>21.095278117303518</v>
      </c>
      <c r="R57" s="90">
        <v>0.9499505091469399</v>
      </c>
      <c r="S57" s="89">
        <v>0.78148579664667306</v>
      </c>
      <c r="T57" s="88">
        <v>122.66788802563094</v>
      </c>
      <c r="U57" s="87">
        <f t="shared" si="21"/>
        <v>0.12266788802563094</v>
      </c>
      <c r="AO57" s="91">
        <v>288.56187682751153</v>
      </c>
      <c r="AP57" s="89">
        <v>5775.4622645466607</v>
      </c>
      <c r="AQ57" s="5">
        <f t="shared" si="22"/>
        <v>0.28856187682751155</v>
      </c>
      <c r="AR57" s="41">
        <f t="shared" si="23"/>
        <v>5.7754622645466611</v>
      </c>
      <c r="AT57" s="54">
        <v>13.599999999999984</v>
      </c>
      <c r="AU57" s="54">
        <v>0</v>
      </c>
      <c r="AW57" s="54">
        <v>300</v>
      </c>
      <c r="AX57" s="54">
        <v>269.25462756683856</v>
      </c>
      <c r="AY57" s="54">
        <v>139.1740501449834</v>
      </c>
      <c r="AZ57" s="54">
        <v>121.28295335543208</v>
      </c>
      <c r="BA57" s="54">
        <v>0</v>
      </c>
      <c r="BB57" s="54">
        <v>0</v>
      </c>
      <c r="BD57" s="54">
        <f t="shared" si="10"/>
        <v>-413.71353017667025</v>
      </c>
      <c r="BE57" s="54">
        <f t="shared" si="11"/>
        <v>-413.71353017667025</v>
      </c>
      <c r="BF57" s="54">
        <f t="shared" si="12"/>
        <v>-2.9217057215866542</v>
      </c>
      <c r="BG57" s="54">
        <f t="shared" si="13"/>
        <v>-2.9217057215866542</v>
      </c>
    </row>
    <row r="58" spans="2:59" x14ac:dyDescent="0.25">
      <c r="B58" s="93">
        <v>9318.6813186813179</v>
      </c>
      <c r="C58" s="90">
        <v>1151.9232703661201</v>
      </c>
      <c r="D58" s="90">
        <v>75.469875801299082</v>
      </c>
      <c r="E58" s="90">
        <v>3082.9138750346624</v>
      </c>
      <c r="F58" s="89">
        <v>328.7890033419344</v>
      </c>
      <c r="H58" s="92">
        <f t="shared" si="14"/>
        <v>9318.6813186813179</v>
      </c>
      <c r="I58" s="54">
        <f t="shared" si="15"/>
        <v>8.1350513443935029</v>
      </c>
      <c r="J58" s="54">
        <f t="shared" si="16"/>
        <v>21.77199064290016</v>
      </c>
      <c r="K58" s="54">
        <f t="shared" si="17"/>
        <v>75.469875801299082</v>
      </c>
      <c r="L58" s="64">
        <f t="shared" si="18"/>
        <v>328.7890033419344</v>
      </c>
      <c r="N58" s="91">
        <v>7938.5900637449795</v>
      </c>
      <c r="O58" s="90">
        <v>21246.19762907736</v>
      </c>
      <c r="P58" s="54">
        <f t="shared" si="19"/>
        <v>7.9385900637449796</v>
      </c>
      <c r="Q58" s="54">
        <f t="shared" si="20"/>
        <v>21.246197629077361</v>
      </c>
      <c r="R58" s="90">
        <v>0.95038220216962077</v>
      </c>
      <c r="S58" s="89">
        <v>0.79188606768103398</v>
      </c>
      <c r="T58" s="88">
        <v>126.97429647307605</v>
      </c>
      <c r="U58" s="87">
        <f t="shared" si="21"/>
        <v>0.12697429647307606</v>
      </c>
      <c r="AO58" s="91">
        <v>287.48152070908816</v>
      </c>
      <c r="AP58" s="89">
        <v>5456.2873052502337</v>
      </c>
      <c r="AQ58" s="5">
        <f t="shared" si="22"/>
        <v>0.28748152070908817</v>
      </c>
      <c r="AR58" s="41">
        <f t="shared" si="23"/>
        <v>5.4562873052502336</v>
      </c>
      <c r="AT58" s="54">
        <v>13.999999999999982</v>
      </c>
      <c r="AU58" s="54">
        <v>0</v>
      </c>
      <c r="AW58" s="54">
        <v>300</v>
      </c>
      <c r="AX58" s="54">
        <v>266.60512044689614</v>
      </c>
      <c r="AY58" s="54">
        <v>141.72051287430679</v>
      </c>
      <c r="AZ58" s="54">
        <v>123.61531784303655</v>
      </c>
      <c r="BA58" s="54">
        <v>0</v>
      </c>
      <c r="BB58" s="54">
        <v>0</v>
      </c>
      <c r="BD58" s="54">
        <f t="shared" si="10"/>
        <v>-406.2257514487963</v>
      </c>
      <c r="BE58" s="54">
        <f t="shared" si="11"/>
        <v>-406.2257514487963</v>
      </c>
      <c r="BF58" s="54">
        <f t="shared" si="12"/>
        <v>-2.8688259283107085</v>
      </c>
      <c r="BG58" s="54">
        <f t="shared" si="13"/>
        <v>-2.8688259283107085</v>
      </c>
    </row>
    <row r="59" spans="2:59" x14ac:dyDescent="0.25">
      <c r="B59" s="93">
        <v>9494.5054945054926</v>
      </c>
      <c r="C59" s="90">
        <v>1149.4407879409839</v>
      </c>
      <c r="D59" s="90">
        <v>75.325509854139142</v>
      </c>
      <c r="E59" s="90">
        <v>3064.9407411303832</v>
      </c>
      <c r="F59" s="89">
        <v>324.25138222338114</v>
      </c>
      <c r="H59" s="92">
        <f t="shared" si="14"/>
        <v>9494.5054945054926</v>
      </c>
      <c r="I59" s="54">
        <f t="shared" si="15"/>
        <v>8.1175196888487573</v>
      </c>
      <c r="J59" s="54">
        <f t="shared" si="16"/>
        <v>21.645061731146775</v>
      </c>
      <c r="K59" s="54">
        <f t="shared" si="17"/>
        <v>75.325509854139142</v>
      </c>
      <c r="L59" s="64">
        <f t="shared" si="18"/>
        <v>324.25138222338114</v>
      </c>
      <c r="N59" s="91">
        <v>8070.9437179330025</v>
      </c>
      <c r="O59" s="90">
        <v>21520.868651942485</v>
      </c>
      <c r="P59" s="54">
        <f t="shared" si="19"/>
        <v>8.0709437179330035</v>
      </c>
      <c r="Q59" s="54">
        <f t="shared" si="20"/>
        <v>21.520868651942486</v>
      </c>
      <c r="R59" s="90">
        <v>0.95078848033830654</v>
      </c>
      <c r="S59" s="89">
        <v>0.79827076642787076</v>
      </c>
      <c r="T59" s="88">
        <v>131.35419211300407</v>
      </c>
      <c r="U59" s="87">
        <f t="shared" si="21"/>
        <v>0.13135419211300409</v>
      </c>
      <c r="AO59" s="91">
        <v>286.38272873187606</v>
      </c>
      <c r="AP59" s="89">
        <v>5306.7219753446425</v>
      </c>
      <c r="AQ59" s="5">
        <f t="shared" si="22"/>
        <v>0.28638272873187604</v>
      </c>
      <c r="AR59" s="41">
        <f t="shared" si="23"/>
        <v>5.3067219753446428</v>
      </c>
      <c r="AT59" s="54">
        <v>14.199999999999982</v>
      </c>
      <c r="AU59" s="54">
        <v>0</v>
      </c>
      <c r="AW59" s="54">
        <v>300</v>
      </c>
      <c r="AX59" s="54">
        <v>267.75362316158402</v>
      </c>
      <c r="AY59" s="54">
        <v>144.26420573499146</v>
      </c>
      <c r="AZ59" s="54">
        <v>125.947682330641</v>
      </c>
      <c r="BA59" s="54">
        <v>0</v>
      </c>
      <c r="BB59" s="54">
        <v>0</v>
      </c>
      <c r="BD59" s="54">
        <f t="shared" si="10"/>
        <v>-399.00010630403455</v>
      </c>
      <c r="BE59" s="54">
        <f t="shared" si="11"/>
        <v>-399.00010630403455</v>
      </c>
      <c r="BF59" s="54">
        <f t="shared" si="12"/>
        <v>-2.8177973609041991</v>
      </c>
      <c r="BG59" s="54">
        <f t="shared" si="13"/>
        <v>-2.8177973609041991</v>
      </c>
    </row>
    <row r="60" spans="2:59" x14ac:dyDescent="0.25">
      <c r="B60" s="93">
        <v>9670.3296703296692</v>
      </c>
      <c r="C60" s="90">
        <v>1146.9165903942608</v>
      </c>
      <c r="D60" s="90">
        <v>75.178437449111541</v>
      </c>
      <c r="E60" s="90">
        <v>3047.376439644248</v>
      </c>
      <c r="F60" s="89">
        <v>319.84114773464233</v>
      </c>
      <c r="H60" s="92">
        <f t="shared" si="14"/>
        <v>9670.3296703296692</v>
      </c>
      <c r="I60" s="54">
        <f t="shared" si="15"/>
        <v>8.0996934349877172</v>
      </c>
      <c r="J60" s="54">
        <f t="shared" si="16"/>
        <v>21.521020053984802</v>
      </c>
      <c r="K60" s="54">
        <f t="shared" si="17"/>
        <v>75.178437449111541</v>
      </c>
      <c r="L60" s="64">
        <f t="shared" si="18"/>
        <v>319.84114773464233</v>
      </c>
      <c r="N60" s="91">
        <v>8202.3534449393628</v>
      </c>
      <c r="O60" s="90">
        <v>21793.789406386222</v>
      </c>
      <c r="P60" s="54">
        <f t="shared" si="19"/>
        <v>8.2023534449393622</v>
      </c>
      <c r="Q60" s="54">
        <f t="shared" si="20"/>
        <v>21.793789406386221</v>
      </c>
      <c r="R60" s="90">
        <v>0.95117056378697951</v>
      </c>
      <c r="S60" s="89">
        <v>0.80439577538754159</v>
      </c>
      <c r="T60" s="88">
        <v>135.80757494541513</v>
      </c>
      <c r="U60" s="87">
        <f t="shared" si="21"/>
        <v>0.13580757494541512</v>
      </c>
      <c r="AO60" s="91">
        <v>285.26550089587471</v>
      </c>
      <c r="AP60" s="89">
        <v>5163.3472475255348</v>
      </c>
      <c r="AQ60" s="5">
        <f t="shared" si="22"/>
        <v>0.28526550089587471</v>
      </c>
      <c r="AR60" s="41">
        <f t="shared" si="23"/>
        <v>5.1633472475255351</v>
      </c>
      <c r="AT60" s="54">
        <v>14.399999999999981</v>
      </c>
      <c r="AU60" s="54">
        <v>0</v>
      </c>
      <c r="AW60" s="54">
        <v>300</v>
      </c>
      <c r="AX60" s="54">
        <v>268.8747802434288</v>
      </c>
      <c r="AY60" s="54">
        <v>146.80507652978835</v>
      </c>
      <c r="AZ60" s="54">
        <v>128.28004681824547</v>
      </c>
      <c r="BA60" s="54">
        <v>0</v>
      </c>
      <c r="BB60" s="54">
        <v>0</v>
      </c>
      <c r="BD60" s="54">
        <f t="shared" si="10"/>
        <v>-392.02301836016613</v>
      </c>
      <c r="BE60" s="54">
        <f t="shared" si="11"/>
        <v>-392.02301836016613</v>
      </c>
      <c r="BF60" s="54">
        <f t="shared" si="12"/>
        <v>-2.7685241409616252</v>
      </c>
      <c r="BG60" s="54">
        <f t="shared" si="13"/>
        <v>-2.7685241409616252</v>
      </c>
    </row>
    <row r="61" spans="2:59" x14ac:dyDescent="0.25">
      <c r="B61" s="93">
        <v>9846.1538461538439</v>
      </c>
      <c r="C61" s="90">
        <v>1144.3504087077695</v>
      </c>
      <c r="D61" s="90">
        <v>75.028642670485553</v>
      </c>
      <c r="E61" s="90">
        <v>3030.2031765107413</v>
      </c>
      <c r="F61" s="89">
        <v>315.55306640678799</v>
      </c>
      <c r="H61" s="92">
        <f t="shared" si="14"/>
        <v>9846.1538461538439</v>
      </c>
      <c r="I61" s="54">
        <f t="shared" si="15"/>
        <v>8.0815706829644736</v>
      </c>
      <c r="J61" s="54">
        <f t="shared" si="16"/>
        <v>21.399739947109754</v>
      </c>
      <c r="K61" s="54">
        <f t="shared" si="17"/>
        <v>75.028642670485553</v>
      </c>
      <c r="L61" s="64">
        <f t="shared" si="18"/>
        <v>315.55306640678799</v>
      </c>
      <c r="N61" s="91">
        <v>8332.8010131914962</v>
      </c>
      <c r="O61" s="90">
        <v>22064.989803182612</v>
      </c>
      <c r="P61" s="54">
        <f t="shared" si="19"/>
        <v>8.3328010131914958</v>
      </c>
      <c r="Q61" s="54">
        <f t="shared" si="20"/>
        <v>22.064989803182613</v>
      </c>
      <c r="R61" s="90">
        <v>0.95152958478948457</v>
      </c>
      <c r="S61" s="89">
        <v>0.81027211367627827</v>
      </c>
      <c r="T61" s="88">
        <v>140.33444497030914</v>
      </c>
      <c r="U61" s="87">
        <f t="shared" si="21"/>
        <v>0.14033444497030914</v>
      </c>
      <c r="AO61" s="91">
        <v>284.12983720108457</v>
      </c>
      <c r="AP61" s="89">
        <v>5025.8262758105184</v>
      </c>
      <c r="AQ61" s="5">
        <f t="shared" si="22"/>
        <v>0.28412983720108459</v>
      </c>
      <c r="AR61" s="41">
        <f t="shared" si="23"/>
        <v>5.0258262758105188</v>
      </c>
      <c r="AT61" s="54">
        <v>14.59999999999998</v>
      </c>
      <c r="AU61" s="54">
        <v>0</v>
      </c>
      <c r="AW61" s="54">
        <v>300</v>
      </c>
      <c r="AX61" s="54">
        <v>269.97026074923821</v>
      </c>
      <c r="AY61" s="54">
        <v>149.34307281903557</v>
      </c>
      <c r="AZ61" s="54">
        <v>130.61241130584995</v>
      </c>
      <c r="BA61" s="54">
        <v>0</v>
      </c>
      <c r="BB61" s="54">
        <v>0</v>
      </c>
      <c r="BD61" s="54">
        <f t="shared" si="10"/>
        <v>-385.28183136605332</v>
      </c>
      <c r="BE61" s="54">
        <f t="shared" si="11"/>
        <v>-385.28183136605332</v>
      </c>
      <c r="BF61" s="54">
        <f t="shared" si="12"/>
        <v>-2.7209168881783428</v>
      </c>
      <c r="BG61" s="54">
        <f t="shared" si="13"/>
        <v>-2.7209168881783428</v>
      </c>
    </row>
    <row r="62" spans="2:59" x14ac:dyDescent="0.25">
      <c r="B62" s="93">
        <v>10021.97802197802</v>
      </c>
      <c r="C62" s="90">
        <v>1141.7419667109448</v>
      </c>
      <c r="D62" s="90">
        <v>74.8761091793791</v>
      </c>
      <c r="E62" s="90">
        <v>2997.2459185708913</v>
      </c>
      <c r="F62" s="89">
        <v>307.32382506588033</v>
      </c>
      <c r="H62" s="92">
        <f t="shared" si="14"/>
        <v>10021.97802197802</v>
      </c>
      <c r="I62" s="54">
        <f t="shared" si="15"/>
        <v>8.0631494824219274</v>
      </c>
      <c r="J62" s="54">
        <f t="shared" si="16"/>
        <v>21.166990950359402</v>
      </c>
      <c r="K62" s="54">
        <f t="shared" si="17"/>
        <v>74.8761091793791</v>
      </c>
      <c r="L62" s="64">
        <f t="shared" si="18"/>
        <v>307.32382506588033</v>
      </c>
      <c r="N62" s="91">
        <v>8462.2679981835299</v>
      </c>
      <c r="O62" s="90">
        <v>22214.737619283762</v>
      </c>
      <c r="P62" s="54">
        <f t="shared" si="19"/>
        <v>8.4622679981835294</v>
      </c>
      <c r="Q62" s="54">
        <f t="shared" si="20"/>
        <v>22.214737619283763</v>
      </c>
      <c r="R62" s="90">
        <v>0.95186659508520022</v>
      </c>
      <c r="S62" s="89">
        <v>0.81890953705951031</v>
      </c>
      <c r="T62" s="88">
        <v>144.93480218768607</v>
      </c>
      <c r="U62" s="87">
        <f t="shared" si="21"/>
        <v>0.14493480218768609</v>
      </c>
      <c r="AO62" s="91">
        <v>282.97573764750541</v>
      </c>
      <c r="AP62" s="89">
        <v>4767.1094459221104</v>
      </c>
      <c r="AQ62" s="5">
        <f t="shared" si="22"/>
        <v>0.28297573764750544</v>
      </c>
      <c r="AR62" s="41">
        <f t="shared" si="23"/>
        <v>4.7671094459221104</v>
      </c>
      <c r="AT62" s="54">
        <v>14.999999999999979</v>
      </c>
      <c r="AU62" s="54">
        <v>0</v>
      </c>
      <c r="AW62" s="54">
        <v>300</v>
      </c>
      <c r="AX62" s="54">
        <v>267.52859221273292</v>
      </c>
      <c r="AY62" s="54">
        <v>151.87814190690739</v>
      </c>
      <c r="AZ62" s="54">
        <v>132.9447757934544</v>
      </c>
      <c r="BA62" s="54">
        <v>0</v>
      </c>
      <c r="BB62" s="54">
        <v>0</v>
      </c>
      <c r="BD62" s="54">
        <f t="shared" si="10"/>
        <v>-378.76473250041494</v>
      </c>
      <c r="BE62" s="54">
        <f t="shared" si="11"/>
        <v>-378.76473250041494</v>
      </c>
      <c r="BF62" s="54">
        <f t="shared" si="12"/>
        <v>-2.6748921786752469</v>
      </c>
      <c r="BG62" s="54">
        <f t="shared" si="13"/>
        <v>-2.6748921786752469</v>
      </c>
    </row>
    <row r="63" spans="2:59" x14ac:dyDescent="0.25">
      <c r="B63" s="93">
        <v>10197.802197802195</v>
      </c>
      <c r="C63" s="90">
        <v>1139.0909809082173</v>
      </c>
      <c r="D63" s="90">
        <v>74.72082020354604</v>
      </c>
      <c r="E63" s="90">
        <v>2981.1483224805688</v>
      </c>
      <c r="F63" s="89">
        <v>303.37353872929003</v>
      </c>
      <c r="H63" s="92">
        <f t="shared" si="14"/>
        <v>10197.802197802195</v>
      </c>
      <c r="I63" s="54">
        <f t="shared" si="15"/>
        <v>8.0444278312727207</v>
      </c>
      <c r="J63" s="54">
        <f t="shared" si="16"/>
        <v>21.05330736215091</v>
      </c>
      <c r="K63" s="54">
        <f t="shared" si="17"/>
        <v>74.72082020354604</v>
      </c>
      <c r="L63" s="64">
        <f t="shared" si="18"/>
        <v>303.37353872929003</v>
      </c>
      <c r="N63" s="91">
        <v>8590.735776524305</v>
      </c>
      <c r="O63" s="90">
        <v>22483.065864185606</v>
      </c>
      <c r="P63" s="54">
        <f t="shared" si="19"/>
        <v>8.5907357765243049</v>
      </c>
      <c r="Q63" s="54">
        <f t="shared" si="20"/>
        <v>22.483065864185608</v>
      </c>
      <c r="R63" s="90">
        <v>0.95218257246655646</v>
      </c>
      <c r="S63" s="89">
        <v>0.82420571628596628</v>
      </c>
      <c r="T63" s="88">
        <v>149.60864659754589</v>
      </c>
      <c r="U63" s="87">
        <f t="shared" si="21"/>
        <v>0.14960864659754589</v>
      </c>
      <c r="AO63" s="91">
        <v>281.80320223513723</v>
      </c>
      <c r="AP63" s="89">
        <v>4645.345900572348</v>
      </c>
      <c r="AQ63" s="5">
        <f t="shared" si="22"/>
        <v>0.28180320223513722</v>
      </c>
      <c r="AR63" s="41">
        <f t="shared" si="23"/>
        <v>4.6453459005723481</v>
      </c>
      <c r="AT63" s="54">
        <v>15.199999999999978</v>
      </c>
      <c r="AU63" s="54">
        <v>0</v>
      </c>
      <c r="AW63" s="54">
        <v>300</v>
      </c>
      <c r="AX63" s="54">
        <v>268.61666257002639</v>
      </c>
      <c r="AY63" s="54">
        <v>154.41023082756459</v>
      </c>
      <c r="AZ63" s="54">
        <v>135.27714028105885</v>
      </c>
      <c r="BA63" s="54">
        <v>0</v>
      </c>
      <c r="BB63" s="54">
        <v>0</v>
      </c>
      <c r="BD63" s="54">
        <f t="shared" si="10"/>
        <v>-372.46068321509125</v>
      </c>
      <c r="BE63" s="54">
        <f t="shared" si="11"/>
        <v>-372.46068321509125</v>
      </c>
      <c r="BF63" s="54">
        <f t="shared" si="12"/>
        <v>-2.6303720566037518</v>
      </c>
      <c r="BG63" s="54">
        <f t="shared" si="13"/>
        <v>-2.6303720566037518</v>
      </c>
    </row>
    <row r="64" spans="2:59" x14ac:dyDescent="0.25">
      <c r="B64" s="93">
        <v>10373.626373626372</v>
      </c>
      <c r="C64" s="90">
        <v>1136.3971602996328</v>
      </c>
      <c r="D64" s="90">
        <v>74.562758526763716</v>
      </c>
      <c r="E64" s="90">
        <v>2965.3796036915342</v>
      </c>
      <c r="F64" s="89">
        <v>299.52711951648433</v>
      </c>
      <c r="H64" s="92">
        <f t="shared" si="14"/>
        <v>10373.626373626372</v>
      </c>
      <c r="I64" s="54">
        <f t="shared" si="15"/>
        <v>8.025403674432436</v>
      </c>
      <c r="J64" s="54">
        <f t="shared" si="16"/>
        <v>20.941946353753774</v>
      </c>
      <c r="K64" s="54">
        <f t="shared" si="17"/>
        <v>74.562758526763716</v>
      </c>
      <c r="L64" s="64">
        <f t="shared" si="18"/>
        <v>299.52711951648433</v>
      </c>
      <c r="N64" s="91">
        <v>8718.1855197988498</v>
      </c>
      <c r="O64" s="90">
        <v>22749.73083775906</v>
      </c>
      <c r="P64" s="54">
        <f t="shared" si="19"/>
        <v>8.7181855197988494</v>
      </c>
      <c r="Q64" s="54">
        <f t="shared" si="20"/>
        <v>22.74973083775906</v>
      </c>
      <c r="R64" s="90">
        <v>0.95247842671282301</v>
      </c>
      <c r="S64" s="89">
        <v>0.82928835954786795</v>
      </c>
      <c r="T64" s="88">
        <v>154.35597819988877</v>
      </c>
      <c r="U64" s="87">
        <f t="shared" si="21"/>
        <v>0.15435597819988878</v>
      </c>
      <c r="AO64" s="91">
        <v>280.61223096398027</v>
      </c>
      <c r="AP64" s="89">
        <v>4528.2976205627501</v>
      </c>
      <c r="AQ64" s="5">
        <f t="shared" si="22"/>
        <v>0.28061223096398025</v>
      </c>
      <c r="AR64" s="41">
        <f t="shared" si="23"/>
        <v>4.5282976205627499</v>
      </c>
      <c r="AT64" s="54">
        <v>15.399999999999977</v>
      </c>
      <c r="AU64" s="54">
        <v>0</v>
      </c>
      <c r="AW64" s="54">
        <v>300</v>
      </c>
      <c r="AX64" s="54">
        <v>269.6835311157638</v>
      </c>
      <c r="AY64" s="54">
        <v>156.93928633114027</v>
      </c>
      <c r="AZ64" s="54">
        <v>137.60950476866333</v>
      </c>
      <c r="BA64" s="54">
        <v>0</v>
      </c>
      <c r="BB64" s="54">
        <v>0</v>
      </c>
      <c r="BD64" s="54">
        <f t="shared" si="10"/>
        <v>-366.35935677087656</v>
      </c>
      <c r="BE64" s="54">
        <f t="shared" si="11"/>
        <v>-366.35935677087656</v>
      </c>
      <c r="BF64" s="54">
        <f t="shared" si="12"/>
        <v>-2.5872835930146652</v>
      </c>
      <c r="BG64" s="54">
        <f t="shared" si="13"/>
        <v>-2.5872835930146652</v>
      </c>
    </row>
    <row r="65" spans="2:59" x14ac:dyDescent="0.25">
      <c r="B65" s="93">
        <v>10549.450549450548</v>
      </c>
      <c r="C65" s="90">
        <v>1133.6602061944202</v>
      </c>
      <c r="D65" s="90">
        <v>74.401906477803109</v>
      </c>
      <c r="E65" s="90">
        <v>2935.0577783340564</v>
      </c>
      <c r="F65" s="89">
        <v>292.13011154992677</v>
      </c>
      <c r="H65" s="92">
        <f t="shared" si="14"/>
        <v>10549.450549450548</v>
      </c>
      <c r="I65" s="54">
        <f t="shared" si="15"/>
        <v>8.0060749025029683</v>
      </c>
      <c r="J65" s="54">
        <f t="shared" si="16"/>
        <v>20.727809169025821</v>
      </c>
      <c r="K65" s="54">
        <f t="shared" si="17"/>
        <v>74.401906477803109</v>
      </c>
      <c r="L65" s="64">
        <f t="shared" si="18"/>
        <v>292.13011154992677</v>
      </c>
      <c r="N65" s="91">
        <v>8844.5981882348806</v>
      </c>
      <c r="O65" s="90">
        <v>22898.754465203576</v>
      </c>
      <c r="P65" s="54">
        <f t="shared" si="19"/>
        <v>8.8445981882348814</v>
      </c>
      <c r="Q65" s="54">
        <f t="shared" si="20"/>
        <v>22.898754465203577</v>
      </c>
      <c r="R65" s="90">
        <v>0.95275500494369103</v>
      </c>
      <c r="S65" s="89">
        <v>0.83676570848481646</v>
      </c>
      <c r="T65" s="88">
        <v>159.17679699471461</v>
      </c>
      <c r="U65" s="87">
        <f t="shared" si="21"/>
        <v>0.1591767969947146</v>
      </c>
      <c r="AO65" s="91">
        <v>279.40282383403439</v>
      </c>
      <c r="AP65" s="89">
        <v>4307.4010741030716</v>
      </c>
      <c r="AQ65" s="5">
        <f t="shared" si="22"/>
        <v>0.27940282383403442</v>
      </c>
      <c r="AR65" s="41">
        <f t="shared" si="23"/>
        <v>4.3074010741030717</v>
      </c>
      <c r="AT65" s="54">
        <v>15.799999999999976</v>
      </c>
      <c r="AU65" s="54">
        <v>0</v>
      </c>
      <c r="AW65" s="54">
        <v>300</v>
      </c>
      <c r="AX65" s="54">
        <v>267.42871613759161</v>
      </c>
      <c r="AY65" s="54">
        <v>159.46525486950236</v>
      </c>
      <c r="AZ65" s="54">
        <v>139.94186925626778</v>
      </c>
      <c r="BA65" s="54">
        <v>0</v>
      </c>
      <c r="BB65" s="54">
        <v>0</v>
      </c>
      <c r="BD65" s="54">
        <f t="shared" si="10"/>
        <v>-360.45108172218846</v>
      </c>
      <c r="BE65" s="54">
        <f t="shared" si="11"/>
        <v>-360.45108172218846</v>
      </c>
      <c r="BF65" s="54">
        <f t="shared" si="12"/>
        <v>-2.5455584867386194</v>
      </c>
      <c r="BG65" s="54">
        <f t="shared" si="13"/>
        <v>-2.5455584867386194</v>
      </c>
    </row>
    <row r="66" spans="2:59" x14ac:dyDescent="0.25">
      <c r="B66" s="93">
        <v>10725.274725274723</v>
      </c>
      <c r="C66" s="90">
        <v>1130.8798120171959</v>
      </c>
      <c r="D66" s="90">
        <v>74.238245918963543</v>
      </c>
      <c r="E66" s="90">
        <v>2920.1969739186925</v>
      </c>
      <c r="F66" s="89">
        <v>288.57213023627094</v>
      </c>
      <c r="H66" s="92">
        <f t="shared" si="14"/>
        <v>10725.274725274723</v>
      </c>
      <c r="I66" s="54">
        <f t="shared" si="15"/>
        <v>7.9864393504039262</v>
      </c>
      <c r="J66" s="54">
        <f t="shared" si="16"/>
        <v>20.622859985301503</v>
      </c>
      <c r="K66" s="54">
        <f t="shared" si="17"/>
        <v>74.238245918963543</v>
      </c>
      <c r="L66" s="64">
        <f t="shared" si="18"/>
        <v>288.57213023627094</v>
      </c>
      <c r="N66" s="91">
        <v>8969.9545241654741</v>
      </c>
      <c r="O66" s="90">
        <v>23162.52689216633</v>
      </c>
      <c r="P66" s="54">
        <f t="shared" si="19"/>
        <v>8.969954524165475</v>
      </c>
      <c r="Q66" s="54">
        <f t="shared" si="20"/>
        <v>23.16252689216633</v>
      </c>
      <c r="R66" s="90">
        <v>0.95301309645680865</v>
      </c>
      <c r="S66" s="89">
        <v>0.84135038739650347</v>
      </c>
      <c r="T66" s="88">
        <v>164.07110298202335</v>
      </c>
      <c r="U66" s="87">
        <f t="shared" si="21"/>
        <v>0.16407110298202335</v>
      </c>
      <c r="AO66" s="91">
        <v>278.17498084529939</v>
      </c>
      <c r="AP66" s="89">
        <v>4203.1165584490873</v>
      </c>
      <c r="AQ66" s="5">
        <f t="shared" si="22"/>
        <v>0.2781749808452994</v>
      </c>
      <c r="AR66" s="41">
        <f t="shared" si="23"/>
        <v>4.2031165584490875</v>
      </c>
      <c r="AT66" s="54">
        <v>15.999999999999975</v>
      </c>
      <c r="AU66" s="54">
        <v>0</v>
      </c>
      <c r="AW66" s="54">
        <v>300</v>
      </c>
      <c r="AX66" s="54">
        <v>268.49450925936821</v>
      </c>
      <c r="AY66" s="54">
        <v>161.98808258173295</v>
      </c>
      <c r="AZ66" s="54">
        <v>142.27423374387226</v>
      </c>
      <c r="BA66" s="54">
        <v>0</v>
      </c>
      <c r="BB66" s="54">
        <v>0</v>
      </c>
      <c r="BD66" s="54">
        <f t="shared" si="10"/>
        <v>-354.72679069981609</v>
      </c>
      <c r="BE66" s="54">
        <f t="shared" si="11"/>
        <v>-354.72679069981609</v>
      </c>
      <c r="BF66" s="54">
        <f t="shared" si="12"/>
        <v>-2.5051327026823174</v>
      </c>
      <c r="BG66" s="54">
        <f t="shared" si="13"/>
        <v>-2.5051327026823174</v>
      </c>
    </row>
    <row r="67" spans="2:59" x14ac:dyDescent="0.25">
      <c r="B67" s="93">
        <v>10901.098901098898</v>
      </c>
      <c r="C67" s="90">
        <v>1128.0556631064792</v>
      </c>
      <c r="D67" s="90">
        <v>74.071758234152355</v>
      </c>
      <c r="E67" s="90">
        <v>2905.6147234289006</v>
      </c>
      <c r="F67" s="89">
        <v>285.10320658616229</v>
      </c>
      <c r="H67" s="92">
        <f t="shared" si="14"/>
        <v>10901.098901098898</v>
      </c>
      <c r="I67" s="54">
        <f t="shared" si="15"/>
        <v>7.9664947959497123</v>
      </c>
      <c r="J67" s="54">
        <f t="shared" si="16"/>
        <v>20.519877990317095</v>
      </c>
      <c r="K67" s="54">
        <f t="shared" si="17"/>
        <v>74.071758234152355</v>
      </c>
      <c r="L67" s="64">
        <f t="shared" si="18"/>
        <v>285.10320658616229</v>
      </c>
      <c r="N67" s="91">
        <v>9094.2350452785304</v>
      </c>
      <c r="O67" s="90">
        <v>23424.680279620348</v>
      </c>
      <c r="P67" s="54">
        <f t="shared" si="19"/>
        <v>9.0942350452785305</v>
      </c>
      <c r="Q67" s="54">
        <f t="shared" si="20"/>
        <v>23.42468027962035</v>
      </c>
      <c r="R67" s="90">
        <v>0.95325343710539767</v>
      </c>
      <c r="S67" s="89">
        <v>0.84575209114291683</v>
      </c>
      <c r="T67" s="88">
        <v>169.03889616181505</v>
      </c>
      <c r="U67" s="87">
        <f t="shared" si="21"/>
        <v>0.16903889616181506</v>
      </c>
      <c r="AO67" s="91">
        <v>276.92870199777536</v>
      </c>
      <c r="AP67" s="89">
        <v>4102.6726546324417</v>
      </c>
      <c r="AQ67" s="5">
        <f t="shared" si="22"/>
        <v>0.27692870199777536</v>
      </c>
      <c r="AR67" s="41">
        <f t="shared" si="23"/>
        <v>4.1026726546324417</v>
      </c>
      <c r="AT67" s="54">
        <v>16.199999999999974</v>
      </c>
      <c r="AU67" s="54">
        <v>0</v>
      </c>
      <c r="AW67" s="54">
        <v>300</v>
      </c>
      <c r="AX67" s="54">
        <v>269.54330877968266</v>
      </c>
      <c r="AY67" s="54">
        <v>164.50771527926872</v>
      </c>
      <c r="AZ67" s="54">
        <v>144.60659823147671</v>
      </c>
      <c r="BA67" s="54">
        <v>0</v>
      </c>
      <c r="BB67" s="54">
        <v>0</v>
      </c>
      <c r="BD67" s="54">
        <f t="shared" si="10"/>
        <v>-349.17797392108423</v>
      </c>
      <c r="BE67" s="54">
        <f t="shared" si="11"/>
        <v>-349.17797392108423</v>
      </c>
      <c r="BF67" s="54">
        <f t="shared" si="12"/>
        <v>-2.4659461435104819</v>
      </c>
      <c r="BG67" s="54">
        <f t="shared" si="13"/>
        <v>-2.4659461435104819</v>
      </c>
    </row>
    <row r="68" spans="2:59" x14ac:dyDescent="0.25">
      <c r="B68" s="93">
        <v>11076.923076923074</v>
      </c>
      <c r="C68" s="90">
        <v>1125.1874365051699</v>
      </c>
      <c r="D68" s="90">
        <v>73.902424316489032</v>
      </c>
      <c r="E68" s="90">
        <v>2877.5247448932623</v>
      </c>
      <c r="F68" s="89">
        <v>278.41966287710761</v>
      </c>
      <c r="H68" s="92">
        <f t="shared" si="14"/>
        <v>11076.923076923074</v>
      </c>
      <c r="I68" s="54">
        <f t="shared" si="15"/>
        <v>7.9462389583698441</v>
      </c>
      <c r="J68" s="54">
        <f t="shared" si="16"/>
        <v>20.321502435686881</v>
      </c>
      <c r="K68" s="54">
        <f t="shared" si="17"/>
        <v>73.902424316489032</v>
      </c>
      <c r="L68" s="64">
        <f t="shared" si="18"/>
        <v>278.41966287710761</v>
      </c>
      <c r="N68" s="91">
        <v>9217.4200376432163</v>
      </c>
      <c r="O68" s="90">
        <v>23572.387481302514</v>
      </c>
      <c r="P68" s="54">
        <f t="shared" si="19"/>
        <v>9.2174200376432172</v>
      </c>
      <c r="Q68" s="54">
        <f t="shared" si="20"/>
        <v>23.572387481302513</v>
      </c>
      <c r="R68" s="90">
        <v>0.95347671326513417</v>
      </c>
      <c r="S68" s="89">
        <v>0.8522341745498323</v>
      </c>
      <c r="T68" s="88">
        <v>174.08017653408976</v>
      </c>
      <c r="U68" s="87">
        <f t="shared" si="21"/>
        <v>0.17408017653408978</v>
      </c>
      <c r="AO68" s="91">
        <v>275.66398729146238</v>
      </c>
      <c r="AP68" s="89">
        <v>3912.5731429580323</v>
      </c>
      <c r="AQ68" s="5">
        <f t="shared" si="22"/>
        <v>0.27566398729146241</v>
      </c>
      <c r="AR68" s="41">
        <f t="shared" si="23"/>
        <v>3.9125731429580326</v>
      </c>
      <c r="AT68" s="54">
        <v>16.599999999999973</v>
      </c>
      <c r="AU68" s="54">
        <v>0</v>
      </c>
      <c r="AW68" s="54">
        <v>300</v>
      </c>
      <c r="AX68" s="54">
        <v>267.47166159041035</v>
      </c>
      <c r="AY68" s="54">
        <v>167.02409843064856</v>
      </c>
      <c r="AZ68" s="54">
        <v>146.93896271908116</v>
      </c>
      <c r="BA68" s="54">
        <v>0</v>
      </c>
      <c r="BB68" s="54">
        <v>0</v>
      </c>
      <c r="BD68" s="54">
        <f t="shared" si="10"/>
        <v>-343.79663692595187</v>
      </c>
      <c r="BE68" s="54">
        <f t="shared" si="11"/>
        <v>-343.79663692595187</v>
      </c>
      <c r="BF68" s="54">
        <f t="shared" si="12"/>
        <v>-2.4279423511719767</v>
      </c>
      <c r="BG68" s="54">
        <f t="shared" si="13"/>
        <v>-2.4279423511719767</v>
      </c>
    </row>
    <row r="69" spans="2:59" x14ac:dyDescent="0.25">
      <c r="B69" s="93">
        <v>11252.747252747251</v>
      </c>
      <c r="C69" s="90">
        <v>1122.2748007426239</v>
      </c>
      <c r="D69" s="90">
        <v>73.730224555412335</v>
      </c>
      <c r="E69" s="90">
        <v>2863.7138853670044</v>
      </c>
      <c r="F69" s="89">
        <v>275.19899118948916</v>
      </c>
      <c r="H69" s="92">
        <f t="shared" ref="H69:H95" si="24">B69*$X$1</f>
        <v>11252.747252747251</v>
      </c>
      <c r="I69" s="54">
        <f t="shared" ref="I69:I95" si="25">C69/$X$2</f>
        <v>7.9256694967699435</v>
      </c>
      <c r="J69" s="54">
        <f t="shared" ref="J69:J95" si="26">E69/$X$2</f>
        <v>20.22396811699862</v>
      </c>
      <c r="K69" s="54">
        <f t="shared" ref="K69:K95" si="27">D69*$AD$1</f>
        <v>73.730224555412335</v>
      </c>
      <c r="L69" s="64">
        <f t="shared" ref="L69:L95" si="28">$AD$1*F69</f>
        <v>275.19899118948916</v>
      </c>
      <c r="N69" s="91">
        <v>9339.4895485029883</v>
      </c>
      <c r="O69" s="90">
        <v>23831.619390001531</v>
      </c>
      <c r="P69" s="54">
        <f t="shared" ref="P69:P95" si="29">N69*$AJ$1</f>
        <v>9.3394895485029892</v>
      </c>
      <c r="Q69" s="54">
        <f t="shared" ref="Q69:Q95" si="30">O69*$AJ$1</f>
        <v>23.831619390001531</v>
      </c>
      <c r="R69" s="90">
        <v>0.95368356543350996</v>
      </c>
      <c r="S69" s="89">
        <v>0.8562091029526423</v>
      </c>
      <c r="T69" s="88">
        <v>179.19494409884737</v>
      </c>
      <c r="U69" s="87">
        <f t="shared" ref="U69:U95" si="31">T69*$AJ$1</f>
        <v>0.17919494409884737</v>
      </c>
      <c r="AO69" s="91">
        <v>274.38083672636049</v>
      </c>
      <c r="AP69" s="89">
        <v>3822.5778420140946</v>
      </c>
      <c r="AQ69" s="5">
        <f t="shared" ref="AQ69:AQ95" si="32">AO69*$AJ$1</f>
        <v>0.27438083672636049</v>
      </c>
      <c r="AR69" s="41">
        <f t="shared" ref="AR69:AR95" si="33">AP69*$AJ$1</f>
        <v>3.8225778420140948</v>
      </c>
      <c r="AT69" s="54">
        <v>16.799999999999972</v>
      </c>
      <c r="AU69" s="54">
        <v>0</v>
      </c>
      <c r="AW69" s="54">
        <v>300</v>
      </c>
      <c r="AX69" s="54">
        <v>268.52588546625014</v>
      </c>
      <c r="AY69" s="54">
        <v>169.53717714581248</v>
      </c>
      <c r="AZ69" s="54">
        <v>149.27132720668564</v>
      </c>
      <c r="BA69" s="54">
        <v>0</v>
      </c>
      <c r="BB69" s="54">
        <v>0</v>
      </c>
      <c r="BD69" s="54">
        <f t="shared" si="10"/>
        <v>-338.57526209743838</v>
      </c>
      <c r="BE69" s="54">
        <f t="shared" si="11"/>
        <v>-338.57526209743838</v>
      </c>
      <c r="BF69" s="54">
        <f t="shared" si="12"/>
        <v>-2.3910682351514012</v>
      </c>
      <c r="BG69" s="54">
        <f t="shared" si="13"/>
        <v>-2.3910682351514012</v>
      </c>
    </row>
    <row r="70" spans="2:59" x14ac:dyDescent="0.25">
      <c r="B70" s="93">
        <v>11428.571428571428</v>
      </c>
      <c r="C70" s="90">
        <v>1119.3174156079378</v>
      </c>
      <c r="D70" s="90">
        <v>73.555138823267328</v>
      </c>
      <c r="E70" s="90">
        <v>2850.1404106130626</v>
      </c>
      <c r="F70" s="89">
        <v>272.05525588132622</v>
      </c>
      <c r="H70" s="92">
        <f t="shared" si="24"/>
        <v>11428.571428571428</v>
      </c>
      <c r="I70" s="54">
        <f t="shared" si="25"/>
        <v>7.9047840085306351</v>
      </c>
      <c r="J70" s="54">
        <f t="shared" si="26"/>
        <v>20.128110244442535</v>
      </c>
      <c r="K70" s="54">
        <f t="shared" si="27"/>
        <v>73.555138823267328</v>
      </c>
      <c r="L70" s="64">
        <f t="shared" si="28"/>
        <v>272.05525588132622</v>
      </c>
      <c r="N70" s="91">
        <v>9460.4233788243473</v>
      </c>
      <c r="O70" s="90">
        <v>24089.266009366136</v>
      </c>
      <c r="P70" s="54">
        <f t="shared" si="29"/>
        <v>9.4604233788243484</v>
      </c>
      <c r="Q70" s="54">
        <f t="shared" si="30"/>
        <v>24.089266009366138</v>
      </c>
      <c r="R70" s="90">
        <v>0.95387459149969622</v>
      </c>
      <c r="S70" s="89">
        <v>0.86002734033865835</v>
      </c>
      <c r="T70" s="88">
        <v>184.38319885608797</v>
      </c>
      <c r="U70" s="87">
        <f t="shared" si="31"/>
        <v>0.18438319885608798</v>
      </c>
      <c r="AO70" s="91">
        <v>273.07925030246963</v>
      </c>
      <c r="AP70" s="89">
        <v>3735.7422486200899</v>
      </c>
      <c r="AQ70" s="5">
        <f t="shared" si="32"/>
        <v>0.27307925030246966</v>
      </c>
      <c r="AR70" s="41">
        <f t="shared" si="33"/>
        <v>3.73574224862009</v>
      </c>
      <c r="AT70" s="54">
        <v>16.999999999999972</v>
      </c>
      <c r="AU70" s="54">
        <v>0</v>
      </c>
      <c r="AW70" s="54">
        <v>300</v>
      </c>
      <c r="AX70" s="54">
        <v>269.56712964959826</v>
      </c>
      <c r="AY70" s="54">
        <v>172.0468961598994</v>
      </c>
      <c r="AZ70" s="54">
        <v>151.60369169429012</v>
      </c>
      <c r="BA70" s="54">
        <v>0</v>
      </c>
      <c r="BB70" s="54">
        <v>0</v>
      </c>
      <c r="BD70" s="54">
        <f t="shared" ref="BD70:BD100" si="34">141.6*$BJ$2*R71*$AY$1/(B71*PI()/30+0.000001)</f>
        <v>-333.50677357673231</v>
      </c>
      <c r="BE70" s="54">
        <f t="shared" ref="BE70:BE100" si="35">141.6*$BJ$1*R71/(B71*PI()/30+0.000001)</f>
        <v>-333.50677357673231</v>
      </c>
      <c r="BF70" s="54">
        <f t="shared" ref="BF70:BF100" si="36">MIN(BD70/$X$2,I70)</f>
        <v>-2.3552738246944371</v>
      </c>
      <c r="BG70" s="54">
        <f t="shared" ref="BG70:BG100" si="37">MIN(BE70/$X$2,J70)</f>
        <v>-2.3552738246944371</v>
      </c>
    </row>
    <row r="71" spans="2:59" x14ac:dyDescent="0.25">
      <c r="B71" s="93">
        <v>11604.395604395602</v>
      </c>
      <c r="C71" s="90">
        <v>1116.3149319140418</v>
      </c>
      <c r="D71" s="90">
        <v>73.377146461348531</v>
      </c>
      <c r="E71" s="90">
        <v>2823.9521863085897</v>
      </c>
      <c r="F71" s="89">
        <v>265.98798893191616</v>
      </c>
      <c r="H71" s="92">
        <f t="shared" si="24"/>
        <v>11604.395604395602</v>
      </c>
      <c r="I71" s="54">
        <f t="shared" si="25"/>
        <v>7.8835800276415391</v>
      </c>
      <c r="J71" s="54">
        <f t="shared" si="26"/>
        <v>19.943165157546538</v>
      </c>
      <c r="K71" s="54">
        <f t="shared" si="27"/>
        <v>73.377146461348531</v>
      </c>
      <c r="L71" s="64">
        <f t="shared" si="28"/>
        <v>265.98798893191616</v>
      </c>
      <c r="N71" s="91">
        <v>9580.2010755897882</v>
      </c>
      <c r="O71" s="90">
        <v>24235.123081530986</v>
      </c>
      <c r="P71" s="54">
        <f t="shared" si="29"/>
        <v>9.5802010755897875</v>
      </c>
      <c r="Q71" s="54">
        <f t="shared" si="30"/>
        <v>24.235123081530986</v>
      </c>
      <c r="R71" s="90">
        <v>0.95405034971843805</v>
      </c>
      <c r="S71" s="89">
        <v>0.86565631680548571</v>
      </c>
      <c r="T71" s="88">
        <v>189.64494080581156</v>
      </c>
      <c r="U71" s="87">
        <f t="shared" si="31"/>
        <v>0.18964494080581157</v>
      </c>
      <c r="AO71" s="91">
        <v>271.75922801978982</v>
      </c>
      <c r="AP71" s="89">
        <v>3570.9742184490919</v>
      </c>
      <c r="AQ71" s="5">
        <f t="shared" si="32"/>
        <v>0.2717592280197898</v>
      </c>
      <c r="AR71" s="41">
        <f t="shared" si="33"/>
        <v>3.5709742184490922</v>
      </c>
      <c r="AT71" s="54">
        <v>17.39999999999997</v>
      </c>
      <c r="AU71" s="54">
        <v>0</v>
      </c>
      <c r="AW71" s="54">
        <v>300</v>
      </c>
      <c r="AX71" s="54">
        <v>267.6780140489218</v>
      </c>
      <c r="AY71" s="54">
        <v>174.5531998164889</v>
      </c>
      <c r="AZ71" s="54">
        <v>153.93605618189457</v>
      </c>
      <c r="BA71" s="54">
        <v>0</v>
      </c>
      <c r="BB71" s="54">
        <v>0</v>
      </c>
      <c r="BD71" s="54">
        <f t="shared" si="34"/>
        <v>-328.58450522850808</v>
      </c>
      <c r="BE71" s="54">
        <f t="shared" si="35"/>
        <v>-328.58450522850808</v>
      </c>
      <c r="BF71" s="54">
        <f t="shared" si="36"/>
        <v>-2.3205120425742098</v>
      </c>
      <c r="BG71" s="54">
        <f t="shared" si="37"/>
        <v>-2.3205120425742098</v>
      </c>
    </row>
    <row r="72" spans="2:59" x14ac:dyDescent="0.25">
      <c r="B72" s="93">
        <v>11780.219780219777</v>
      </c>
      <c r="C72" s="90">
        <v>1113.2669912521617</v>
      </c>
      <c r="D72" s="90">
        <v>73.196226265373269</v>
      </c>
      <c r="E72" s="90">
        <v>2811.0378822115076</v>
      </c>
      <c r="F72" s="89">
        <v>263.05945589817748</v>
      </c>
      <c r="H72" s="92">
        <f t="shared" si="24"/>
        <v>11780.219780219777</v>
      </c>
      <c r="I72" s="54">
        <f t="shared" si="25"/>
        <v>7.8620550229672439</v>
      </c>
      <c r="J72" s="54">
        <f t="shared" si="26"/>
        <v>19.851962444996524</v>
      </c>
      <c r="K72" s="54">
        <f t="shared" si="27"/>
        <v>73.196226265373269</v>
      </c>
      <c r="L72" s="64">
        <f t="shared" si="28"/>
        <v>263.05945589817748</v>
      </c>
      <c r="N72" s="91">
        <v>9698.8019238228007</v>
      </c>
      <c r="O72" s="90">
        <v>24489.812268004585</v>
      </c>
      <c r="P72" s="54">
        <f t="shared" si="29"/>
        <v>9.6988019238228009</v>
      </c>
      <c r="Q72" s="54">
        <f t="shared" si="30"/>
        <v>24.489812268004584</v>
      </c>
      <c r="R72" s="90">
        <v>0.95421136141758955</v>
      </c>
      <c r="S72" s="89">
        <v>0.86910885148109518</v>
      </c>
      <c r="T72" s="88">
        <v>194.98016994801799</v>
      </c>
      <c r="U72" s="87">
        <f t="shared" si="31"/>
        <v>0.19498016994801798</v>
      </c>
      <c r="AO72" s="91">
        <v>270.42076987832093</v>
      </c>
      <c r="AP72" s="89">
        <v>3492.7740999170992</v>
      </c>
      <c r="AQ72" s="5">
        <f t="shared" si="32"/>
        <v>0.27042076987832092</v>
      </c>
      <c r="AR72" s="41">
        <f t="shared" si="33"/>
        <v>3.4927740999170993</v>
      </c>
      <c r="AT72" s="54">
        <v>17.599999999999969</v>
      </c>
      <c r="AU72" s="54">
        <v>0</v>
      </c>
      <c r="AW72" s="54">
        <v>300</v>
      </c>
      <c r="AX72" s="54">
        <v>268.73137823159993</v>
      </c>
      <c r="AY72" s="54">
        <v>177.05603205023186</v>
      </c>
      <c r="AZ72" s="54">
        <v>156.26842066949902</v>
      </c>
      <c r="BA72" s="54">
        <v>0</v>
      </c>
      <c r="BB72" s="54">
        <v>0</v>
      </c>
      <c r="BD72" s="54">
        <f t="shared" si="34"/>
        <v>-323.80217135135217</v>
      </c>
      <c r="BE72" s="54">
        <f t="shared" si="35"/>
        <v>-323.80217135135217</v>
      </c>
      <c r="BF72" s="54">
        <f t="shared" si="36"/>
        <v>-2.2867384982440124</v>
      </c>
      <c r="BG72" s="54">
        <f t="shared" si="37"/>
        <v>-2.2867384982440124</v>
      </c>
    </row>
    <row r="73" spans="2:59" x14ac:dyDescent="0.25">
      <c r="B73" s="93">
        <v>11956.043956043954</v>
      </c>
      <c r="C73" s="90">
        <v>1110.1732257361937</v>
      </c>
      <c r="D73" s="90">
        <v>73.012356470358583</v>
      </c>
      <c r="E73" s="90">
        <v>2798.3269628608996</v>
      </c>
      <c r="F73" s="89">
        <v>260.19784291552332</v>
      </c>
      <c r="H73" s="92">
        <f t="shared" si="24"/>
        <v>11956.043956043954</v>
      </c>
      <c r="I73" s="54">
        <f t="shared" si="25"/>
        <v>7.8402063964420456</v>
      </c>
      <c r="J73" s="54">
        <f t="shared" si="26"/>
        <v>19.762196065401834</v>
      </c>
      <c r="K73" s="54">
        <f t="shared" si="27"/>
        <v>73.012356470358583</v>
      </c>
      <c r="L73" s="64">
        <f t="shared" si="28"/>
        <v>260.19784291552332</v>
      </c>
      <c r="N73" s="91">
        <v>9816.2049383321446</v>
      </c>
      <c r="O73" s="90">
        <v>24742.941295208733</v>
      </c>
      <c r="P73" s="54">
        <f t="shared" si="29"/>
        <v>9.8162049383321452</v>
      </c>
      <c r="Q73" s="54">
        <f t="shared" si="30"/>
        <v>24.742941295208734</v>
      </c>
      <c r="R73" s="90">
        <v>0.95435811346549493</v>
      </c>
      <c r="S73" s="89">
        <v>0.8724271373155652</v>
      </c>
      <c r="T73" s="88">
        <v>200.38888628270746</v>
      </c>
      <c r="U73" s="87">
        <f t="shared" si="31"/>
        <v>0.20038888628270746</v>
      </c>
      <c r="AO73" s="91">
        <v>269.06387587806324</v>
      </c>
      <c r="AP73" s="89">
        <v>3417.1972379912786</v>
      </c>
      <c r="AQ73" s="5">
        <f t="shared" si="32"/>
        <v>0.26906387587806324</v>
      </c>
      <c r="AR73" s="41">
        <f t="shared" si="33"/>
        <v>3.4171972379912785</v>
      </c>
      <c r="AT73" s="54">
        <v>17.799999999999969</v>
      </c>
      <c r="AU73" s="54">
        <v>0</v>
      </c>
      <c r="AW73" s="54">
        <v>300</v>
      </c>
      <c r="AX73" s="54">
        <v>269.77563867158085</v>
      </c>
      <c r="AY73" s="54">
        <v>179.55533636881395</v>
      </c>
      <c r="AZ73" s="54">
        <v>158.6007851571035</v>
      </c>
      <c r="BA73" s="54">
        <v>0</v>
      </c>
      <c r="BB73" s="54">
        <v>0</v>
      </c>
      <c r="BD73" s="54">
        <f t="shared" si="34"/>
        <v>-319.15383986257115</v>
      </c>
      <c r="BE73" s="54">
        <f t="shared" si="35"/>
        <v>-319.15383986257115</v>
      </c>
      <c r="BF73" s="54">
        <f t="shared" si="36"/>
        <v>-2.2539112984644856</v>
      </c>
      <c r="BG73" s="54">
        <f t="shared" si="37"/>
        <v>-2.2539112984644856</v>
      </c>
    </row>
    <row r="74" spans="2:59" x14ac:dyDescent="0.25">
      <c r="B74" s="93">
        <v>12131.86813186813</v>
      </c>
      <c r="C74" s="90">
        <v>1107.0332577365202</v>
      </c>
      <c r="D74" s="90">
        <v>72.825514734872741</v>
      </c>
      <c r="E74" s="90">
        <v>2773.7679373086839</v>
      </c>
      <c r="F74" s="89">
        <v>254.66655896077046</v>
      </c>
      <c r="H74" s="92">
        <f t="shared" si="24"/>
        <v>12131.86813186813</v>
      </c>
      <c r="I74" s="54">
        <f t="shared" si="25"/>
        <v>7.8180314811901148</v>
      </c>
      <c r="J74" s="54">
        <f t="shared" si="26"/>
        <v>19.588756619411612</v>
      </c>
      <c r="K74" s="54">
        <f t="shared" si="27"/>
        <v>72.825514734872741</v>
      </c>
      <c r="L74" s="64">
        <f t="shared" si="28"/>
        <v>254.66655896077046</v>
      </c>
      <c r="N74" s="91">
        <v>9932.3888551619075</v>
      </c>
      <c r="O74" s="90">
        <v>24886.462583482102</v>
      </c>
      <c r="P74" s="54">
        <f t="shared" si="29"/>
        <v>9.9323888551619071</v>
      </c>
      <c r="Q74" s="54">
        <f t="shared" si="30"/>
        <v>24.886462583482103</v>
      </c>
      <c r="R74" s="90">
        <v>0.95449106052143329</v>
      </c>
      <c r="S74" s="89">
        <v>0.87732466670415632</v>
      </c>
      <c r="T74" s="88">
        <v>205.87108980987992</v>
      </c>
      <c r="U74" s="87">
        <f t="shared" si="31"/>
        <v>0.20587108980987992</v>
      </c>
      <c r="AO74" s="91">
        <v>267.68854601901643</v>
      </c>
      <c r="AP74" s="89">
        <v>3273.4559664299045</v>
      </c>
      <c r="AQ74" s="5">
        <f t="shared" si="32"/>
        <v>0.26768854601901643</v>
      </c>
      <c r="AR74" s="41">
        <f t="shared" si="33"/>
        <v>3.2734559664299048</v>
      </c>
      <c r="AT74" s="54">
        <v>18.199999999999967</v>
      </c>
      <c r="AU74" s="54">
        <v>0</v>
      </c>
      <c r="AW74" s="54">
        <v>300</v>
      </c>
      <c r="AX74" s="54">
        <v>268.07106074364299</v>
      </c>
      <c r="AY74" s="54">
        <v>182.05105583419351</v>
      </c>
      <c r="AZ74" s="54">
        <v>160.93314964470795</v>
      </c>
      <c r="BA74" s="54">
        <v>0</v>
      </c>
      <c r="BB74" s="54">
        <v>0</v>
      </c>
      <c r="BD74" s="54">
        <f t="shared" si="34"/>
        <v>-314.63390771673591</v>
      </c>
      <c r="BE74" s="54">
        <f t="shared" si="35"/>
        <v>-314.63390771673591</v>
      </c>
      <c r="BF74" s="54">
        <f t="shared" si="36"/>
        <v>-2.2219908737057623</v>
      </c>
      <c r="BG74" s="54">
        <f t="shared" si="37"/>
        <v>-2.2219908737057623</v>
      </c>
    </row>
    <row r="75" spans="2:59" x14ac:dyDescent="0.25">
      <c r="B75" s="93">
        <v>12307.692307692307</v>
      </c>
      <c r="C75" s="90">
        <v>1103.8466996027385</v>
      </c>
      <c r="D75" s="90">
        <v>72.63567812463161</v>
      </c>
      <c r="E75" s="90">
        <v>2761.6231106658643</v>
      </c>
      <c r="F75" s="89">
        <v>251.99271859059272</v>
      </c>
      <c r="H75" s="92">
        <f t="shared" si="24"/>
        <v>12307.692307692307</v>
      </c>
      <c r="I75" s="54">
        <f t="shared" si="25"/>
        <v>7.7955275395673622</v>
      </c>
      <c r="J75" s="54">
        <f t="shared" si="26"/>
        <v>19.502988069674185</v>
      </c>
      <c r="K75" s="54">
        <f t="shared" si="27"/>
        <v>72.63567812463161</v>
      </c>
      <c r="L75" s="64">
        <f t="shared" si="28"/>
        <v>251.99271859059272</v>
      </c>
      <c r="N75" s="91">
        <v>10047.332122733022</v>
      </c>
      <c r="O75" s="90">
        <v>25136.592427789859</v>
      </c>
      <c r="P75" s="54">
        <f t="shared" si="29"/>
        <v>10.047332122733021</v>
      </c>
      <c r="Q75" s="54">
        <f t="shared" si="30"/>
        <v>25.136592427789861</v>
      </c>
      <c r="R75" s="90">
        <v>0.95461062708973543</v>
      </c>
      <c r="S75" s="89">
        <v>0.88032932707365152</v>
      </c>
      <c r="T75" s="88">
        <v>211.42678052953531</v>
      </c>
      <c r="U75" s="87">
        <f t="shared" si="31"/>
        <v>0.21142678052953531</v>
      </c>
      <c r="AO75" s="91">
        <v>266.29478030118077</v>
      </c>
      <c r="AP75" s="89">
        <v>3205.0783215277202</v>
      </c>
      <c r="AQ75" s="5">
        <f t="shared" si="32"/>
        <v>0.26629478030118076</v>
      </c>
      <c r="AR75" s="41">
        <f t="shared" si="33"/>
        <v>3.2050783215277203</v>
      </c>
      <c r="AT75" s="54">
        <v>18.399999999999967</v>
      </c>
      <c r="AU75" s="54">
        <v>0</v>
      </c>
      <c r="AW75" s="54">
        <v>300</v>
      </c>
      <c r="AX75" s="54">
        <v>269.13432985064691</v>
      </c>
      <c r="AY75" s="54">
        <v>184.54313304305538</v>
      </c>
      <c r="AZ75" s="54">
        <v>163.26551413231243</v>
      </c>
      <c r="BA75" s="54">
        <v>0</v>
      </c>
      <c r="BB75" s="54">
        <v>0</v>
      </c>
      <c r="BD75" s="54">
        <f t="shared" si="34"/>
        <v>-310.23707834368736</v>
      </c>
      <c r="BE75" s="54">
        <f t="shared" si="35"/>
        <v>-310.23707834368736</v>
      </c>
      <c r="BF75" s="54">
        <f t="shared" si="36"/>
        <v>-2.1909398188113514</v>
      </c>
      <c r="BG75" s="54">
        <f t="shared" si="37"/>
        <v>-2.1909398188113514</v>
      </c>
    </row>
    <row r="76" spans="2:59" x14ac:dyDescent="0.25">
      <c r="B76" s="93">
        <v>12483.516483516481</v>
      </c>
      <c r="C76" s="90">
        <v>1100.6131533747757</v>
      </c>
      <c r="D76" s="90">
        <v>72.442823095407235</v>
      </c>
      <c r="E76" s="90">
        <v>2738.1348948510108</v>
      </c>
      <c r="F76" s="89">
        <v>246.81888304589191</v>
      </c>
      <c r="H76" s="92">
        <f t="shared" si="24"/>
        <v>12483.516483516481</v>
      </c>
      <c r="I76" s="54">
        <f t="shared" si="25"/>
        <v>7.7726917611212976</v>
      </c>
      <c r="J76" s="54">
        <f t="shared" si="26"/>
        <v>19.337110839343296</v>
      </c>
      <c r="K76" s="54">
        <f t="shared" si="27"/>
        <v>72.442823095407235</v>
      </c>
      <c r="L76" s="64">
        <f t="shared" si="28"/>
        <v>246.81888304589191</v>
      </c>
      <c r="N76" s="91">
        <v>10161.012892661196</v>
      </c>
      <c r="O76" s="90">
        <v>25278.840147527055</v>
      </c>
      <c r="P76" s="54">
        <f t="shared" si="29"/>
        <v>10.161012892661196</v>
      </c>
      <c r="Q76" s="54">
        <f t="shared" si="30"/>
        <v>25.278840147527056</v>
      </c>
      <c r="R76" s="90">
        <v>0.954717209395889</v>
      </c>
      <c r="S76" s="89">
        <v>0.88476503591496947</v>
      </c>
      <c r="T76" s="88">
        <v>217.0559584416736</v>
      </c>
      <c r="U76" s="87">
        <f t="shared" si="31"/>
        <v>0.21705595844167361</v>
      </c>
      <c r="AO76" s="91">
        <v>264.88257872455608</v>
      </c>
      <c r="AP76" s="89">
        <v>3074.8180950115366</v>
      </c>
      <c r="AQ76" s="5">
        <f t="shared" si="32"/>
        <v>0.26488257872455606</v>
      </c>
      <c r="AR76" s="41">
        <f t="shared" si="33"/>
        <v>3.0748180950115365</v>
      </c>
      <c r="AT76" s="54">
        <v>18.799999999999965</v>
      </c>
      <c r="AU76" s="54">
        <v>0</v>
      </c>
      <c r="AW76" s="54">
        <v>300</v>
      </c>
      <c r="AX76" s="54">
        <v>267.57193979677299</v>
      </c>
      <c r="AY76" s="54">
        <v>187.03151010641591</v>
      </c>
      <c r="AZ76" s="54">
        <v>165.59787861991686</v>
      </c>
      <c r="BA76" s="54">
        <v>0</v>
      </c>
      <c r="BB76" s="54">
        <v>0</v>
      </c>
      <c r="BD76" s="54">
        <f t="shared" si="34"/>
        <v>-305.95834091488894</v>
      </c>
      <c r="BE76" s="54">
        <f t="shared" si="35"/>
        <v>-305.95834091488894</v>
      </c>
      <c r="BF76" s="54">
        <f t="shared" si="36"/>
        <v>-2.1607227465740744</v>
      </c>
      <c r="BG76" s="54">
        <f t="shared" si="37"/>
        <v>-2.1607227465740744</v>
      </c>
    </row>
    <row r="77" spans="2:59" x14ac:dyDescent="0.25">
      <c r="B77" s="93">
        <v>12659.340659340658</v>
      </c>
      <c r="C77" s="90">
        <v>1097.3322104818039</v>
      </c>
      <c r="D77" s="90">
        <v>72.246925475215306</v>
      </c>
      <c r="E77" s="90">
        <v>2726.4965322269181</v>
      </c>
      <c r="F77" s="89">
        <v>244.31523124068241</v>
      </c>
      <c r="H77" s="92">
        <f t="shared" si="24"/>
        <v>12659.340659340658</v>
      </c>
      <c r="I77" s="54">
        <f t="shared" si="25"/>
        <v>7.749521260464717</v>
      </c>
      <c r="J77" s="54">
        <f t="shared" si="26"/>
        <v>19.254919012901965</v>
      </c>
      <c r="K77" s="54">
        <f t="shared" si="27"/>
        <v>72.246925475215306</v>
      </c>
      <c r="L77" s="64">
        <f t="shared" si="28"/>
        <v>244.31523124068241</v>
      </c>
      <c r="N77" s="91">
        <v>10273.4090102353</v>
      </c>
      <c r="O77" s="90">
        <v>25525.919838128906</v>
      </c>
      <c r="P77" s="54">
        <f t="shared" si="29"/>
        <v>10.2734090102353</v>
      </c>
      <c r="Q77" s="54">
        <f t="shared" si="30"/>
        <v>25.525919838128907</v>
      </c>
      <c r="R77" s="90">
        <v>0.95481117710093166</v>
      </c>
      <c r="S77" s="89">
        <v>0.88748850366580789</v>
      </c>
      <c r="T77" s="88">
        <v>222.7586235462949</v>
      </c>
      <c r="U77" s="87">
        <f t="shared" si="31"/>
        <v>0.22275862354629491</v>
      </c>
      <c r="AO77" s="91">
        <v>263.4519412891425</v>
      </c>
      <c r="AP77" s="89">
        <v>3012.7545335384948</v>
      </c>
      <c r="AQ77" s="5">
        <f t="shared" si="32"/>
        <v>0.26345194128914251</v>
      </c>
      <c r="AR77" s="41">
        <f t="shared" si="33"/>
        <v>3.0127545335384949</v>
      </c>
      <c r="AT77" s="54">
        <v>18.999999999999964</v>
      </c>
      <c r="AU77" s="54">
        <v>0</v>
      </c>
      <c r="AW77" s="54">
        <v>300</v>
      </c>
      <c r="AX77" s="54">
        <v>268.6366972262644</v>
      </c>
      <c r="AY77" s="54">
        <v>189.51612862831692</v>
      </c>
      <c r="AZ77" s="54">
        <v>167.93024310752133</v>
      </c>
      <c r="BA77" s="54">
        <v>0</v>
      </c>
      <c r="BB77" s="54">
        <v>0</v>
      </c>
      <c r="BD77" s="54">
        <f t="shared" si="34"/>
        <v>-301.79295126739987</v>
      </c>
      <c r="BE77" s="54">
        <f t="shared" si="35"/>
        <v>-301.79295126739987</v>
      </c>
      <c r="BF77" s="54">
        <f t="shared" si="36"/>
        <v>-2.1313061530183606</v>
      </c>
      <c r="BG77" s="54">
        <f t="shared" si="37"/>
        <v>-2.1313061530183606</v>
      </c>
    </row>
    <row r="78" spans="2:59" x14ac:dyDescent="0.25">
      <c r="B78" s="93">
        <v>12835.164835164833</v>
      </c>
      <c r="C78" s="90">
        <v>1094.0034514283589</v>
      </c>
      <c r="D78" s="90">
        <v>72.047960445744906</v>
      </c>
      <c r="E78" s="90">
        <v>2715.0150278049032</v>
      </c>
      <c r="F78" s="89">
        <v>241.86477932506739</v>
      </c>
      <c r="H78" s="92">
        <f t="shared" si="24"/>
        <v>12835.164835164833</v>
      </c>
      <c r="I78" s="54">
        <f t="shared" si="25"/>
        <v>7.7260130750590319</v>
      </c>
      <c r="J78" s="54">
        <f t="shared" si="26"/>
        <v>19.173834942125023</v>
      </c>
      <c r="K78" s="54">
        <f t="shared" si="27"/>
        <v>72.047960445744906</v>
      </c>
      <c r="L78" s="64">
        <f t="shared" si="28"/>
        <v>241.86477932506739</v>
      </c>
      <c r="N78" s="91">
        <v>10384.498004539324</v>
      </c>
      <c r="O78" s="90">
        <v>25771.461782614482</v>
      </c>
      <c r="P78" s="54">
        <f t="shared" si="29"/>
        <v>10.384498004539324</v>
      </c>
      <c r="Q78" s="54">
        <f t="shared" si="30"/>
        <v>25.771461782614484</v>
      </c>
      <c r="R78" s="90">
        <v>0.95489287486866536</v>
      </c>
      <c r="S78" s="89">
        <v>0.89010861290173282</v>
      </c>
      <c r="T78" s="88">
        <v>228.53477584339916</v>
      </c>
      <c r="U78" s="87">
        <f t="shared" si="31"/>
        <v>0.22853477584339915</v>
      </c>
      <c r="AO78" s="91">
        <v>262.00286799493983</v>
      </c>
      <c r="AP78" s="89">
        <v>2952.6224923063814</v>
      </c>
      <c r="AQ78" s="5">
        <f t="shared" si="32"/>
        <v>0.26200286799493983</v>
      </c>
      <c r="AR78" s="41">
        <f t="shared" si="33"/>
        <v>2.9526224923063813</v>
      </c>
      <c r="AT78" s="54">
        <v>19.199999999999964</v>
      </c>
      <c r="AU78" s="54">
        <v>0</v>
      </c>
      <c r="AW78" s="54">
        <v>300</v>
      </c>
      <c r="AX78" s="54">
        <v>269.68896655125388</v>
      </c>
      <c r="AY78" s="54">
        <v>191.99692968353628</v>
      </c>
      <c r="AZ78" s="54">
        <v>170.26260759512581</v>
      </c>
      <c r="BA78" s="54">
        <v>0</v>
      </c>
      <c r="BB78" s="54">
        <v>0</v>
      </c>
      <c r="BD78" s="54">
        <f t="shared" si="34"/>
        <v>-297.73641433269938</v>
      </c>
      <c r="BE78" s="54">
        <f t="shared" si="35"/>
        <v>-297.73641433269938</v>
      </c>
      <c r="BF78" s="54">
        <f t="shared" si="36"/>
        <v>-2.1026582933100242</v>
      </c>
      <c r="BG78" s="54">
        <f t="shared" si="37"/>
        <v>-2.1026582933100242</v>
      </c>
    </row>
    <row r="79" spans="2:59" x14ac:dyDescent="0.25">
      <c r="B79" s="93">
        <v>13010.989010989009</v>
      </c>
      <c r="C79" s="90">
        <v>1090.6264454670056</v>
      </c>
      <c r="D79" s="90">
        <v>71.845902522992887</v>
      </c>
      <c r="E79" s="90">
        <v>2692.7095065887202</v>
      </c>
      <c r="F79" s="89">
        <v>237.11696743592788</v>
      </c>
      <c r="H79" s="92">
        <f t="shared" si="24"/>
        <v>13010.989010989009</v>
      </c>
      <c r="I79" s="54">
        <f t="shared" si="25"/>
        <v>7.7021641629025828</v>
      </c>
      <c r="J79" s="54">
        <f t="shared" si="26"/>
        <v>19.016310074779099</v>
      </c>
      <c r="K79" s="54">
        <f t="shared" si="27"/>
        <v>71.845902522992887</v>
      </c>
      <c r="L79" s="64">
        <f t="shared" si="28"/>
        <v>237.11696743592788</v>
      </c>
      <c r="N79" s="91">
        <v>10494.257078200044</v>
      </c>
      <c r="O79" s="90">
        <v>25909.866679379087</v>
      </c>
      <c r="P79" s="54">
        <f t="shared" si="29"/>
        <v>10.494257078200045</v>
      </c>
      <c r="Q79" s="54">
        <f t="shared" si="30"/>
        <v>25.909866679379089</v>
      </c>
      <c r="R79" s="90">
        <v>0.95496262379863328</v>
      </c>
      <c r="S79" s="89">
        <v>0.89397895945972672</v>
      </c>
      <c r="T79" s="88">
        <v>234.38441533298638</v>
      </c>
      <c r="U79" s="87">
        <f t="shared" si="31"/>
        <v>0.23438441533298637</v>
      </c>
      <c r="AO79" s="91">
        <v>260.53535884194827</v>
      </c>
      <c r="AP79" s="89">
        <v>2837.8401375528238</v>
      </c>
      <c r="AQ79" s="5">
        <f t="shared" si="32"/>
        <v>0.26053535884194828</v>
      </c>
      <c r="AR79" s="41">
        <f t="shared" si="33"/>
        <v>2.8378401375528237</v>
      </c>
      <c r="AT79" s="54">
        <v>19.599999999999962</v>
      </c>
      <c r="AU79" s="54">
        <v>0</v>
      </c>
      <c r="AW79" s="54">
        <v>300</v>
      </c>
      <c r="AX79" s="54">
        <v>268.24215905600249</v>
      </c>
      <c r="AY79" s="54">
        <v>194.47385379424753</v>
      </c>
      <c r="AZ79" s="54">
        <v>172.59497208273027</v>
      </c>
      <c r="BA79" s="54">
        <v>0</v>
      </c>
      <c r="BB79" s="54">
        <v>0</v>
      </c>
      <c r="BD79" s="54">
        <f t="shared" si="34"/>
        <v>-293.78446793347626</v>
      </c>
      <c r="BE79" s="54">
        <f t="shared" si="35"/>
        <v>-293.78446793347626</v>
      </c>
      <c r="BF79" s="54">
        <f t="shared" si="36"/>
        <v>-2.0747490673268101</v>
      </c>
      <c r="BG79" s="54">
        <f t="shared" si="37"/>
        <v>-2.0747490673268101</v>
      </c>
    </row>
    <row r="80" spans="2:59" x14ac:dyDescent="0.25">
      <c r="B80" s="93">
        <v>13186.813186813186</v>
      </c>
      <c r="C80" s="90">
        <v>1087.2007502568736</v>
      </c>
      <c r="D80" s="90">
        <v>71.640725537061897</v>
      </c>
      <c r="E80" s="90">
        <v>2681.1696187517491</v>
      </c>
      <c r="F80" s="89">
        <v>234.81651798299856</v>
      </c>
      <c r="H80" s="92">
        <f t="shared" si="24"/>
        <v>13186.813186813186</v>
      </c>
      <c r="I80" s="54">
        <f t="shared" si="25"/>
        <v>7.6779714001191639</v>
      </c>
      <c r="J80" s="54">
        <f t="shared" si="26"/>
        <v>18.934813691749643</v>
      </c>
      <c r="K80" s="54">
        <f t="shared" si="27"/>
        <v>71.640725537061897</v>
      </c>
      <c r="L80" s="64">
        <f t="shared" si="28"/>
        <v>234.81651798299856</v>
      </c>
      <c r="N80" s="91">
        <v>10602.663096741495</v>
      </c>
      <c r="O80" s="90">
        <v>26147.460040040482</v>
      </c>
      <c r="P80" s="54">
        <f t="shared" si="29"/>
        <v>10.602663096741495</v>
      </c>
      <c r="Q80" s="54">
        <f t="shared" si="30"/>
        <v>26.147460040040482</v>
      </c>
      <c r="R80" s="90">
        <v>0.95502072273644456</v>
      </c>
      <c r="S80" s="89">
        <v>0.89634046698015835</v>
      </c>
      <c r="T80" s="88">
        <v>240.30754201505658</v>
      </c>
      <c r="U80" s="87">
        <f t="shared" si="31"/>
        <v>0.24030754201505658</v>
      </c>
      <c r="AO80" s="91">
        <v>259.04941383016779</v>
      </c>
      <c r="AP80" s="89">
        <v>2783.0432172117107</v>
      </c>
      <c r="AQ80" s="5">
        <f t="shared" si="32"/>
        <v>0.25904941383016777</v>
      </c>
      <c r="AR80" s="41">
        <f t="shared" si="33"/>
        <v>2.783043217211711</v>
      </c>
      <c r="AT80" s="54">
        <v>19.799999999999962</v>
      </c>
      <c r="AU80" s="54">
        <v>0</v>
      </c>
      <c r="AW80" s="54">
        <v>300</v>
      </c>
      <c r="AX80" s="54">
        <v>269.2929716552361</v>
      </c>
      <c r="AY80" s="54">
        <v>196.94684090554748</v>
      </c>
      <c r="AZ80" s="54">
        <v>174.92733657033475</v>
      </c>
      <c r="BA80" s="54">
        <v>0</v>
      </c>
      <c r="BB80" s="54">
        <v>0</v>
      </c>
      <c r="BD80" s="54">
        <f t="shared" si="34"/>
        <v>-289.9330678255173</v>
      </c>
      <c r="BE80" s="54">
        <f t="shared" si="35"/>
        <v>-289.9330678255173</v>
      </c>
      <c r="BF80" s="54">
        <f t="shared" si="36"/>
        <v>-2.047549914022015</v>
      </c>
      <c r="BG80" s="54">
        <f t="shared" si="37"/>
        <v>-2.047549914022015</v>
      </c>
    </row>
    <row r="81" spans="2:59" x14ac:dyDescent="0.25">
      <c r="B81" s="93">
        <v>13362.637362637361</v>
      </c>
      <c r="C81" s="90">
        <v>1083.7259115073293</v>
      </c>
      <c r="D81" s="90">
        <v>71.432402611079326</v>
      </c>
      <c r="E81" s="90">
        <v>2657.4780808979017</v>
      </c>
      <c r="F81" s="89">
        <v>230.35526733558012</v>
      </c>
      <c r="H81" s="92">
        <f t="shared" si="24"/>
        <v>13362.637362637361</v>
      </c>
      <c r="I81" s="54">
        <f t="shared" si="25"/>
        <v>7.6534315784415918</v>
      </c>
      <c r="J81" s="54">
        <f t="shared" si="26"/>
        <v>18.767500571312866</v>
      </c>
      <c r="K81" s="54">
        <f t="shared" si="27"/>
        <v>71.432402611079326</v>
      </c>
      <c r="L81" s="64">
        <f t="shared" si="28"/>
        <v>230.35526733558012</v>
      </c>
      <c r="N81" s="91">
        <v>10709.692577526162</v>
      </c>
      <c r="O81" s="90">
        <v>26261.966218326645</v>
      </c>
      <c r="P81" s="54">
        <f t="shared" si="29"/>
        <v>10.709692577526162</v>
      </c>
      <c r="Q81" s="54">
        <f t="shared" si="30"/>
        <v>26.261966218326645</v>
      </c>
      <c r="R81" s="90">
        <v>0.95506744947176792</v>
      </c>
      <c r="S81" s="89">
        <v>0.89978035483243157</v>
      </c>
      <c r="T81" s="88">
        <v>246.3041558896096</v>
      </c>
      <c r="U81" s="87">
        <f t="shared" si="31"/>
        <v>0.24630415588960961</v>
      </c>
      <c r="AO81" s="91">
        <v>257.54503295959825</v>
      </c>
      <c r="AP81" s="89">
        <v>2678.2983737781656</v>
      </c>
      <c r="AQ81" s="5">
        <f t="shared" si="32"/>
        <v>0.25754503295959824</v>
      </c>
      <c r="AR81" s="41">
        <f t="shared" si="33"/>
        <v>2.6782983737781656</v>
      </c>
      <c r="AT81" s="54">
        <v>20.19999999999996</v>
      </c>
      <c r="AU81" s="54">
        <v>0</v>
      </c>
      <c r="AW81" s="54">
        <v>300</v>
      </c>
      <c r="AX81" s="54">
        <v>267.94224952292234</v>
      </c>
      <c r="AY81" s="54">
        <v>199.41583035977445</v>
      </c>
      <c r="AZ81" s="54">
        <v>177.2597010579392</v>
      </c>
      <c r="BA81" s="54">
        <v>0</v>
      </c>
      <c r="BB81" s="54">
        <v>0</v>
      </c>
      <c r="BD81" s="54">
        <f t="shared" si="34"/>
        <v>-286.1783738742767</v>
      </c>
      <c r="BE81" s="54">
        <f t="shared" si="35"/>
        <v>-286.1783738742767</v>
      </c>
      <c r="BF81" s="54">
        <f t="shared" si="36"/>
        <v>-2.0210337138013892</v>
      </c>
      <c r="BG81" s="54">
        <f t="shared" si="37"/>
        <v>-2.0210337138013892</v>
      </c>
    </row>
    <row r="82" spans="2:59" x14ac:dyDescent="0.25">
      <c r="B82" s="93">
        <v>13538.461538461537</v>
      </c>
      <c r="C82" s="90">
        <v>1080.201462606017</v>
      </c>
      <c r="D82" s="90">
        <v>71.220906139191285</v>
      </c>
      <c r="E82" s="90">
        <v>2645.0904457778347</v>
      </c>
      <c r="F82" s="89">
        <v>228.19173124162222</v>
      </c>
      <c r="H82" s="92">
        <f t="shared" si="24"/>
        <v>13538.461538461537</v>
      </c>
      <c r="I82" s="54">
        <f t="shared" si="25"/>
        <v>7.6285414025848661</v>
      </c>
      <c r="J82" s="54">
        <f t="shared" si="26"/>
        <v>18.680017272442335</v>
      </c>
      <c r="K82" s="54">
        <f t="shared" si="27"/>
        <v>71.220906139191285</v>
      </c>
      <c r="L82" s="64">
        <f t="shared" si="28"/>
        <v>228.19173124162222</v>
      </c>
      <c r="N82" s="91">
        <v>10815.321678261664</v>
      </c>
      <c r="O82" s="90">
        <v>26483.48945035438</v>
      </c>
      <c r="P82" s="54">
        <f t="shared" si="29"/>
        <v>10.815321678261665</v>
      </c>
      <c r="Q82" s="54">
        <f t="shared" si="30"/>
        <v>26.48348945035438</v>
      </c>
      <c r="R82" s="90">
        <v>0.95510306183324212</v>
      </c>
      <c r="S82" s="89">
        <v>0.90188495364737231</v>
      </c>
      <c r="T82" s="88">
        <v>252.3742569566457</v>
      </c>
      <c r="U82" s="87">
        <f t="shared" si="31"/>
        <v>0.25237425695664573</v>
      </c>
      <c r="AO82" s="91">
        <v>256.02221623023974</v>
      </c>
      <c r="AP82" s="89">
        <v>2628.2245608035159</v>
      </c>
      <c r="AQ82" s="5">
        <f t="shared" si="32"/>
        <v>0.25602221623023974</v>
      </c>
      <c r="AR82" s="41">
        <f t="shared" si="33"/>
        <v>2.628224560803516</v>
      </c>
      <c r="AT82" s="54">
        <v>20.399999999999959</v>
      </c>
      <c r="AU82" s="54">
        <v>0</v>
      </c>
      <c r="AW82" s="54">
        <v>300</v>
      </c>
      <c r="AX82" s="54">
        <v>268.99113494633139</v>
      </c>
      <c r="AY82" s="54">
        <v>201.88076086952827</v>
      </c>
      <c r="AZ82" s="54">
        <v>179.59206554554365</v>
      </c>
      <c r="BA82" s="54">
        <v>0</v>
      </c>
      <c r="BB82" s="54">
        <v>0</v>
      </c>
      <c r="BD82" s="54">
        <f t="shared" si="34"/>
        <v>-282.51673726673903</v>
      </c>
      <c r="BE82" s="54">
        <f t="shared" si="35"/>
        <v>-282.51673726673903</v>
      </c>
      <c r="BF82" s="54">
        <f t="shared" si="36"/>
        <v>-1.995174698211434</v>
      </c>
      <c r="BG82" s="54">
        <f t="shared" si="37"/>
        <v>-1.995174698211434</v>
      </c>
    </row>
    <row r="83" spans="2:59" x14ac:dyDescent="0.25">
      <c r="B83" s="93">
        <v>13714.285714285712</v>
      </c>
      <c r="C83" s="90">
        <v>1076.6269242304436</v>
      </c>
      <c r="D83" s="90">
        <v>71.006207763583063</v>
      </c>
      <c r="E83" s="90">
        <v>2619.9022874897191</v>
      </c>
      <c r="F83" s="89">
        <v>223.99239485871274</v>
      </c>
      <c r="H83" s="92">
        <f t="shared" si="24"/>
        <v>13714.285714285712</v>
      </c>
      <c r="I83" s="54">
        <f t="shared" si="25"/>
        <v>7.6032974875031334</v>
      </c>
      <c r="J83" s="54">
        <f t="shared" si="26"/>
        <v>18.502134798656208</v>
      </c>
      <c r="K83" s="54">
        <f t="shared" si="27"/>
        <v>71.006207763583063</v>
      </c>
      <c r="L83" s="64">
        <f t="shared" si="28"/>
        <v>223.99239485871274</v>
      </c>
      <c r="N83" s="91">
        <v>10919.526185050318</v>
      </c>
      <c r="O83" s="90">
        <v>26571.963775628068</v>
      </c>
      <c r="P83" s="54">
        <f t="shared" si="29"/>
        <v>10.919526185050318</v>
      </c>
      <c r="Q83" s="54">
        <f t="shared" si="30"/>
        <v>26.571963775628067</v>
      </c>
      <c r="R83" s="90">
        <v>0.95512779868856656</v>
      </c>
      <c r="S83" s="89">
        <v>0.90493625715060211</v>
      </c>
      <c r="T83" s="88">
        <v>258.51784521616474</v>
      </c>
      <c r="U83" s="87">
        <f t="shared" si="31"/>
        <v>0.25851784521616478</v>
      </c>
      <c r="AO83" s="91">
        <v>254.48096364209241</v>
      </c>
      <c r="AP83" s="89">
        <v>2532.3819490312962</v>
      </c>
      <c r="AQ83" s="5">
        <f t="shared" si="32"/>
        <v>0.25448096364209238</v>
      </c>
      <c r="AR83" s="41">
        <f t="shared" si="33"/>
        <v>2.5323819490312962</v>
      </c>
      <c r="AT83" s="54">
        <v>20.799999999999958</v>
      </c>
      <c r="AU83" s="54">
        <v>0</v>
      </c>
      <c r="AW83" s="54">
        <v>300</v>
      </c>
      <c r="AX83" s="54">
        <v>267.7290989057596</v>
      </c>
      <c r="AY83" s="54">
        <v>204.34157048930248</v>
      </c>
      <c r="AZ83" s="54">
        <v>181.92443003314813</v>
      </c>
      <c r="BA83" s="54">
        <v>0</v>
      </c>
      <c r="BB83" s="54">
        <v>0</v>
      </c>
      <c r="BD83" s="54">
        <f t="shared" si="34"/>
        <v>-278.94468866900058</v>
      </c>
      <c r="BE83" s="54">
        <f t="shared" si="35"/>
        <v>-278.94468866900058</v>
      </c>
      <c r="BF83" s="54">
        <f t="shared" si="36"/>
        <v>-1.9699483663065014</v>
      </c>
      <c r="BG83" s="54">
        <f t="shared" si="37"/>
        <v>-1.9699483663065014</v>
      </c>
    </row>
    <row r="84" spans="2:59" x14ac:dyDescent="0.25">
      <c r="B84" s="93">
        <v>13890.109890109889</v>
      </c>
      <c r="C84" s="90">
        <v>1073.0018039422298</v>
      </c>
      <c r="D84" s="90">
        <v>70.788278350474187</v>
      </c>
      <c r="E84" s="90">
        <v>2606.8575407409771</v>
      </c>
      <c r="F84" s="89">
        <v>221.95416482339979</v>
      </c>
      <c r="H84" s="92">
        <f t="shared" si="24"/>
        <v>13890.109890109889</v>
      </c>
      <c r="I84" s="54">
        <f t="shared" si="25"/>
        <v>7.577696355524222</v>
      </c>
      <c r="J84" s="54">
        <f t="shared" si="26"/>
        <v>18.410010880939105</v>
      </c>
      <c r="K84" s="54">
        <f t="shared" si="27"/>
        <v>70.788278350474187</v>
      </c>
      <c r="L84" s="64">
        <f t="shared" si="28"/>
        <v>221.95416482339979</v>
      </c>
      <c r="N84" s="91">
        <v>11022.281499957653</v>
      </c>
      <c r="O84" s="90">
        <v>26778.629391643946</v>
      </c>
      <c r="P84" s="54">
        <f t="shared" si="29"/>
        <v>11.022281499957653</v>
      </c>
      <c r="Q84" s="54">
        <f t="shared" si="30"/>
        <v>26.778629391643946</v>
      </c>
      <c r="R84" s="90">
        <v>0.95514188085716289</v>
      </c>
      <c r="S84" s="89">
        <v>0.90681711002001175</v>
      </c>
      <c r="T84" s="88">
        <v>264.73492066816675</v>
      </c>
      <c r="U84" s="87">
        <f t="shared" si="31"/>
        <v>0.26473492066816673</v>
      </c>
      <c r="AO84" s="91">
        <v>252.92127519515594</v>
      </c>
      <c r="AP84" s="89">
        <v>2486.5045616456187</v>
      </c>
      <c r="AQ84" s="5">
        <f t="shared" si="32"/>
        <v>0.25292127519515595</v>
      </c>
      <c r="AR84" s="41">
        <f t="shared" si="33"/>
        <v>2.4865045616456185</v>
      </c>
      <c r="AT84" s="54">
        <v>20.999999999999957</v>
      </c>
      <c r="AU84" s="54">
        <v>0</v>
      </c>
      <c r="AW84" s="54">
        <v>300</v>
      </c>
      <c r="AX84" s="54">
        <v>268.77556125433716</v>
      </c>
      <c r="AY84" s="54">
        <v>206.7981965856286</v>
      </c>
      <c r="AZ84" s="54">
        <v>184.25679452075261</v>
      </c>
      <c r="BA84" s="54">
        <v>0</v>
      </c>
      <c r="BB84" s="54">
        <v>0</v>
      </c>
      <c r="BD84" s="54">
        <f t="shared" si="34"/>
        <v>-275.45892724872516</v>
      </c>
      <c r="BE84" s="54">
        <f t="shared" si="35"/>
        <v>-275.45892724872516</v>
      </c>
      <c r="BF84" s="54">
        <f t="shared" si="36"/>
        <v>-1.9453314071237653</v>
      </c>
      <c r="BG84" s="54">
        <f t="shared" si="37"/>
        <v>-1.9453314071237653</v>
      </c>
    </row>
    <row r="85" spans="2:59" x14ac:dyDescent="0.25">
      <c r="B85" s="93">
        <v>14065.934065934061</v>
      </c>
      <c r="C85" s="90">
        <v>1069.3255957631088</v>
      </c>
      <c r="D85" s="90">
        <v>70.567087965033437</v>
      </c>
      <c r="E85" s="90">
        <v>2593.6301305760953</v>
      </c>
      <c r="F85" s="89">
        <v>219.95535016535149</v>
      </c>
      <c r="H85" s="92">
        <f t="shared" si="24"/>
        <v>14065.934065934061</v>
      </c>
      <c r="I85" s="54">
        <f t="shared" si="25"/>
        <v>7.5517344333552883</v>
      </c>
      <c r="J85" s="54">
        <f t="shared" si="26"/>
        <v>18.316596967345308</v>
      </c>
      <c r="K85" s="54">
        <f t="shared" si="27"/>
        <v>70.567087965033437</v>
      </c>
      <c r="L85" s="64">
        <f t="shared" si="28"/>
        <v>219.95535016535149</v>
      </c>
      <c r="N85" s="91">
        <v>11123.562628074455</v>
      </c>
      <c r="O85" s="90">
        <v>26980.002448118194</v>
      </c>
      <c r="P85" s="54">
        <f t="shared" si="29"/>
        <v>11.123562628074454</v>
      </c>
      <c r="Q85" s="54">
        <f t="shared" si="30"/>
        <v>26.980002448118196</v>
      </c>
      <c r="R85" s="90">
        <v>0.95514551194202357</v>
      </c>
      <c r="S85" s="89">
        <v>0.9086186685415869</v>
      </c>
      <c r="T85" s="88">
        <v>271.02548331265166</v>
      </c>
      <c r="U85" s="87">
        <f t="shared" si="31"/>
        <v>0.27102548331265164</v>
      </c>
      <c r="AO85" s="91">
        <v>251.34315088943055</v>
      </c>
      <c r="AP85" s="89">
        <v>2441.9216383966636</v>
      </c>
      <c r="AQ85" s="5">
        <f t="shared" si="32"/>
        <v>0.25134315088943054</v>
      </c>
      <c r="AR85" s="41">
        <f t="shared" si="33"/>
        <v>2.4419216383966638</v>
      </c>
      <c r="AT85" s="54">
        <v>21.199999999999957</v>
      </c>
      <c r="AU85" s="54">
        <v>0</v>
      </c>
      <c r="AW85" s="54">
        <v>300</v>
      </c>
      <c r="AX85" s="54">
        <v>269.81162704803802</v>
      </c>
      <c r="AY85" s="54">
        <v>209.25057580562938</v>
      </c>
      <c r="AZ85" s="54">
        <v>186.58915900835703</v>
      </c>
      <c r="BA85" s="54">
        <v>0</v>
      </c>
      <c r="BB85" s="54">
        <v>0</v>
      </c>
      <c r="BD85" s="54">
        <f t="shared" si="34"/>
        <v>-272.05631048941615</v>
      </c>
      <c r="BE85" s="54">
        <f t="shared" si="35"/>
        <v>-272.05631048941615</v>
      </c>
      <c r="BF85" s="54">
        <f t="shared" si="36"/>
        <v>-1.921301627750114</v>
      </c>
      <c r="BG85" s="54">
        <f t="shared" si="37"/>
        <v>-1.921301627750114</v>
      </c>
    </row>
    <row r="86" spans="2:59" x14ac:dyDescent="0.25">
      <c r="B86" s="93">
        <v>14241.758241758238</v>
      </c>
      <c r="C86" s="90">
        <v>1065.5977797316673</v>
      </c>
      <c r="D86" s="90">
        <v>70.342605845154665</v>
      </c>
      <c r="E86" s="90">
        <v>2566.9741751598499</v>
      </c>
      <c r="F86" s="89">
        <v>216.07159414040296</v>
      </c>
      <c r="H86" s="92">
        <f t="shared" si="24"/>
        <v>14241.758241758238</v>
      </c>
      <c r="I86" s="54">
        <f t="shared" si="25"/>
        <v>7.5254080489524533</v>
      </c>
      <c r="J86" s="54">
        <f t="shared" si="26"/>
        <v>18.128348694631708</v>
      </c>
      <c r="K86" s="54">
        <f t="shared" si="27"/>
        <v>70.342605845154665</v>
      </c>
      <c r="L86" s="64">
        <f t="shared" si="28"/>
        <v>216.07159414040296</v>
      </c>
      <c r="N86" s="91">
        <v>11223.344164045222</v>
      </c>
      <c r="O86" s="90">
        <v>27036.500240540925</v>
      </c>
      <c r="P86" s="54">
        <f t="shared" si="29"/>
        <v>11.223344164045223</v>
      </c>
      <c r="Q86" s="54">
        <f t="shared" si="30"/>
        <v>27.036500240540924</v>
      </c>
      <c r="R86" s="90">
        <v>0.95513887908665485</v>
      </c>
      <c r="S86" s="89">
        <v>0.91121580421186166</v>
      </c>
      <c r="T86" s="88">
        <v>277.38953314961952</v>
      </c>
      <c r="U86" s="87">
        <f t="shared" si="31"/>
        <v>0.2773895331496195</v>
      </c>
      <c r="AO86" s="91">
        <v>249.74659072491639</v>
      </c>
      <c r="AP86" s="89">
        <v>2356.448838584347</v>
      </c>
      <c r="AQ86" s="5">
        <f t="shared" si="32"/>
        <v>0.2497465907249164</v>
      </c>
      <c r="AR86" s="41">
        <f t="shared" si="33"/>
        <v>2.3564488385843472</v>
      </c>
      <c r="AT86" s="54">
        <v>21.599999999999955</v>
      </c>
      <c r="AU86" s="54">
        <v>0</v>
      </c>
      <c r="AW86" s="54">
        <v>300</v>
      </c>
      <c r="AX86" s="54">
        <v>268.63886456962223</v>
      </c>
      <c r="AY86" s="54">
        <v>211.69864404386698</v>
      </c>
      <c r="AZ86" s="54">
        <v>188.92152349596151</v>
      </c>
      <c r="BA86" s="54">
        <v>0</v>
      </c>
      <c r="BB86" s="54">
        <v>0</v>
      </c>
      <c r="BD86" s="54">
        <f t="shared" si="34"/>
        <v>-268.73384473039562</v>
      </c>
      <c r="BE86" s="54">
        <f t="shared" si="35"/>
        <v>-268.73384473039562</v>
      </c>
      <c r="BF86" s="54">
        <f t="shared" si="36"/>
        <v>-1.8978378865140935</v>
      </c>
      <c r="BG86" s="54">
        <f t="shared" si="37"/>
        <v>-1.8978378865140935</v>
      </c>
    </row>
    <row r="87" spans="2:59" x14ac:dyDescent="0.25">
      <c r="B87" s="93">
        <v>14417.582417582416</v>
      </c>
      <c r="C87" s="90">
        <v>1061.8178214397813</v>
      </c>
      <c r="D87" s="90">
        <v>70.114800374031347</v>
      </c>
      <c r="E87" s="90">
        <v>2553.2927283611748</v>
      </c>
      <c r="F87" s="89">
        <v>214.1845666923449</v>
      </c>
      <c r="H87" s="92">
        <f t="shared" si="24"/>
        <v>14417.582417582416</v>
      </c>
      <c r="I87" s="54">
        <f t="shared" si="25"/>
        <v>7.4987134282470427</v>
      </c>
      <c r="J87" s="54">
        <f t="shared" si="26"/>
        <v>18.031728307635415</v>
      </c>
      <c r="K87" s="54">
        <f t="shared" si="27"/>
        <v>70.114800374031347</v>
      </c>
      <c r="L87" s="64">
        <f t="shared" si="28"/>
        <v>214.1845666923449</v>
      </c>
      <c r="N87" s="91">
        <v>11321.600278034257</v>
      </c>
      <c r="O87" s="90">
        <v>27224.406183086601</v>
      </c>
      <c r="P87" s="54">
        <f t="shared" si="29"/>
        <v>11.321600278034257</v>
      </c>
      <c r="Q87" s="54">
        <f t="shared" si="30"/>
        <v>27.2244061830866</v>
      </c>
      <c r="R87" s="90">
        <v>0.95512215366239239</v>
      </c>
      <c r="S87" s="89">
        <v>0.91283073323474107</v>
      </c>
      <c r="T87" s="88">
        <v>283.82707017907046</v>
      </c>
      <c r="U87" s="87">
        <f t="shared" si="31"/>
        <v>0.28382707017907044</v>
      </c>
      <c r="AO87" s="91">
        <v>248.13159470161295</v>
      </c>
      <c r="AP87" s="89">
        <v>2315.4692137689312</v>
      </c>
      <c r="AQ87" s="5">
        <f t="shared" si="32"/>
        <v>0.24813159470161297</v>
      </c>
      <c r="AR87" s="41">
        <f t="shared" si="33"/>
        <v>2.3154692137689312</v>
      </c>
      <c r="AT87" s="54">
        <v>21.799999999999955</v>
      </c>
      <c r="AU87" s="54">
        <v>0</v>
      </c>
      <c r="AW87" s="54">
        <v>300</v>
      </c>
      <c r="AX87" s="54">
        <v>269.67237395653984</v>
      </c>
      <c r="AY87" s="54">
        <v>214.14233640736668</v>
      </c>
      <c r="AZ87" s="54">
        <v>191.25388798356596</v>
      </c>
      <c r="BA87" s="54">
        <v>0</v>
      </c>
      <c r="BB87" s="54">
        <v>0</v>
      </c>
      <c r="BD87" s="54">
        <f t="shared" si="34"/>
        <v>-265.48867637259582</v>
      </c>
      <c r="BE87" s="54">
        <f t="shared" si="35"/>
        <v>-265.48867637259582</v>
      </c>
      <c r="BF87" s="54">
        <f t="shared" si="36"/>
        <v>-1.8749200308799141</v>
      </c>
      <c r="BG87" s="54">
        <f t="shared" si="37"/>
        <v>-1.8749200308799141</v>
      </c>
    </row>
    <row r="88" spans="2:59" x14ac:dyDescent="0.25">
      <c r="B88" s="93">
        <v>14593.406593406593</v>
      </c>
      <c r="C88" s="90">
        <v>1057.9851715476252</v>
      </c>
      <c r="D88" s="90">
        <v>69.883639051463334</v>
      </c>
      <c r="E88" s="90">
        <v>2525.855502686522</v>
      </c>
      <c r="F88" s="89">
        <v>210.51527975728123</v>
      </c>
      <c r="H88" s="92">
        <f t="shared" si="24"/>
        <v>14593.406593406593</v>
      </c>
      <c r="I88" s="54">
        <f t="shared" si="25"/>
        <v>7.4716466917205171</v>
      </c>
      <c r="J88" s="54">
        <f t="shared" si="26"/>
        <v>17.837962589594081</v>
      </c>
      <c r="K88" s="54">
        <f t="shared" si="27"/>
        <v>69.883639051463334</v>
      </c>
      <c r="L88" s="64">
        <f t="shared" si="28"/>
        <v>210.51527975728123</v>
      </c>
      <c r="N88" s="91">
        <v>11418.304701098874</v>
      </c>
      <c r="O88" s="90">
        <v>27260.29488526125</v>
      </c>
      <c r="P88" s="54">
        <f t="shared" si="29"/>
        <v>11.418304701098874</v>
      </c>
      <c r="Q88" s="54">
        <f t="shared" si="30"/>
        <v>27.260294885261249</v>
      </c>
      <c r="R88" s="90">
        <v>0.95509549189080367</v>
      </c>
      <c r="S88" s="89">
        <v>0.91514709067475353</v>
      </c>
      <c r="T88" s="88">
        <v>290.3380944010043</v>
      </c>
      <c r="U88" s="87">
        <f t="shared" si="31"/>
        <v>0.29033809440100433</v>
      </c>
      <c r="AO88" s="91">
        <v>246.4981628195207</v>
      </c>
      <c r="AP88" s="89">
        <v>2236.8141945624734</v>
      </c>
      <c r="AQ88" s="5">
        <f t="shared" si="32"/>
        <v>0.24649816281952069</v>
      </c>
      <c r="AR88" s="41">
        <f t="shared" si="33"/>
        <v>2.2368141945624735</v>
      </c>
      <c r="AT88" s="54">
        <v>22.199999999999953</v>
      </c>
      <c r="AU88" s="54">
        <v>0</v>
      </c>
      <c r="AW88" s="54">
        <v>300</v>
      </c>
      <c r="AX88" s="54">
        <v>268.57409862635916</v>
      </c>
      <c r="AY88" s="54">
        <v>216.58158717868596</v>
      </c>
      <c r="AZ88" s="54">
        <v>193.58625247117044</v>
      </c>
      <c r="BA88" s="54">
        <v>0</v>
      </c>
      <c r="BB88" s="54">
        <v>0</v>
      </c>
      <c r="BD88" s="54">
        <f t="shared" si="34"/>
        <v>-262.31808369582973</v>
      </c>
      <c r="BE88" s="54">
        <f t="shared" si="35"/>
        <v>-262.31808369582973</v>
      </c>
      <c r="BF88" s="54">
        <f t="shared" si="36"/>
        <v>-1.8525288396598145</v>
      </c>
      <c r="BG88" s="54">
        <f t="shared" si="37"/>
        <v>-1.8525288396598145</v>
      </c>
    </row>
    <row r="89" spans="2:59" x14ac:dyDescent="0.25">
      <c r="B89" s="93">
        <v>14769.230769230766</v>
      </c>
      <c r="C89" s="90">
        <v>1054.0992652760428</v>
      </c>
      <c r="D89" s="90">
        <v>69.64908846382427</v>
      </c>
      <c r="E89" s="90">
        <v>2511.8416668554528</v>
      </c>
      <c r="F89" s="89">
        <v>208.73115276661568</v>
      </c>
      <c r="H89" s="92">
        <f t="shared" si="24"/>
        <v>14769.230769230766</v>
      </c>
      <c r="I89" s="54">
        <f t="shared" si="25"/>
        <v>7.4442038508195116</v>
      </c>
      <c r="J89" s="54">
        <f t="shared" si="26"/>
        <v>17.738994822425514</v>
      </c>
      <c r="K89" s="54">
        <f t="shared" si="27"/>
        <v>69.64908846382427</v>
      </c>
      <c r="L89" s="64">
        <f t="shared" si="28"/>
        <v>208.73115276661568</v>
      </c>
      <c r="N89" s="91">
        <v>11513.430709936947</v>
      </c>
      <c r="O89" s="90">
        <v>27435.665632590459</v>
      </c>
      <c r="P89" s="54">
        <f t="shared" si="29"/>
        <v>11.513430709936948</v>
      </c>
      <c r="Q89" s="54">
        <f t="shared" si="30"/>
        <v>27.43566563259046</v>
      </c>
      <c r="R89" s="90">
        <v>0.95505903540536552</v>
      </c>
      <c r="S89" s="89">
        <v>0.91659738336600016</v>
      </c>
      <c r="T89" s="88">
        <v>296.92260581542104</v>
      </c>
      <c r="U89" s="87">
        <f t="shared" si="31"/>
        <v>0.29692260581542107</v>
      </c>
      <c r="AO89" s="91">
        <v>244.84629507863946</v>
      </c>
      <c r="AP89" s="89">
        <v>2199.0606439458975</v>
      </c>
      <c r="AQ89" s="5">
        <f t="shared" si="32"/>
        <v>0.24484629507863948</v>
      </c>
      <c r="AR89" s="41">
        <f t="shared" si="33"/>
        <v>2.1990606439458977</v>
      </c>
      <c r="AT89" s="54">
        <v>22.399999999999952</v>
      </c>
      <c r="AU89" s="54">
        <v>0</v>
      </c>
      <c r="AW89" s="54">
        <v>300</v>
      </c>
      <c r="AX89" s="54">
        <v>269.6044386566042</v>
      </c>
      <c r="AY89" s="54">
        <v>219.01632977688885</v>
      </c>
      <c r="AZ89" s="54">
        <v>195.91861695877492</v>
      </c>
      <c r="BA89" s="54">
        <v>0</v>
      </c>
      <c r="BB89" s="54">
        <v>0</v>
      </c>
      <c r="BD89" s="54">
        <f t="shared" si="34"/>
        <v>-259.21946923819229</v>
      </c>
      <c r="BE89" s="54">
        <f t="shared" si="35"/>
        <v>-259.21946923819229</v>
      </c>
      <c r="BF89" s="54">
        <f t="shared" si="36"/>
        <v>-1.8306459691962733</v>
      </c>
      <c r="BG89" s="54">
        <f t="shared" si="37"/>
        <v>-1.8306459691962733</v>
      </c>
    </row>
    <row r="90" spans="2:59" x14ac:dyDescent="0.25">
      <c r="B90" s="93">
        <v>14945.054945054941</v>
      </c>
      <c r="C90" s="90">
        <v>1050.1595218750017</v>
      </c>
      <c r="D90" s="90">
        <v>69.411114252614411</v>
      </c>
      <c r="E90" s="90">
        <v>2483.8444624394429</v>
      </c>
      <c r="F90" s="89">
        <v>205.25950883431611</v>
      </c>
      <c r="H90" s="92">
        <f t="shared" si="24"/>
        <v>14945.054945054941</v>
      </c>
      <c r="I90" s="54">
        <f t="shared" si="25"/>
        <v>7.4163808042019896</v>
      </c>
      <c r="J90" s="54">
        <f t="shared" si="26"/>
        <v>17.541274452255951</v>
      </c>
      <c r="K90" s="54">
        <f t="shared" si="27"/>
        <v>69.411114252614411</v>
      </c>
      <c r="L90" s="64">
        <f t="shared" si="28"/>
        <v>205.25950883431611</v>
      </c>
      <c r="N90" s="91">
        <v>11606.951110974082</v>
      </c>
      <c r="O90" s="90">
        <v>27452.839918381345</v>
      </c>
      <c r="P90" s="54">
        <f t="shared" si="29"/>
        <v>11.606951110974082</v>
      </c>
      <c r="Q90" s="54">
        <f t="shared" si="30"/>
        <v>27.452839918381347</v>
      </c>
      <c r="R90" s="90">
        <v>0.95501291175613212</v>
      </c>
      <c r="S90" s="89">
        <v>0.91866663854575648</v>
      </c>
      <c r="T90" s="88">
        <v>303.58060442232073</v>
      </c>
      <c r="U90" s="87">
        <f t="shared" si="31"/>
        <v>0.30358060442232077</v>
      </c>
      <c r="AO90" s="91">
        <v>243.17599147896928</v>
      </c>
      <c r="AP90" s="89">
        <v>2126.5188346451259</v>
      </c>
      <c r="AQ90" s="5">
        <f t="shared" si="32"/>
        <v>0.24317599147896929</v>
      </c>
      <c r="AR90" s="41">
        <f t="shared" si="33"/>
        <v>2.1265188346451258</v>
      </c>
      <c r="AT90" s="54">
        <v>22.799999999999951</v>
      </c>
      <c r="AU90" s="54">
        <v>0</v>
      </c>
      <c r="AW90" s="54">
        <v>300</v>
      </c>
      <c r="AX90" s="54">
        <v>268.57469856501814</v>
      </c>
      <c r="AY90" s="54">
        <v>221.44649671627664</v>
      </c>
      <c r="AZ90" s="54">
        <v>198.25098144637934</v>
      </c>
      <c r="BA90" s="54">
        <v>0</v>
      </c>
      <c r="BB90" s="54">
        <v>0</v>
      </c>
      <c r="BD90" s="54">
        <f t="shared" si="34"/>
        <v>-256.19035269272342</v>
      </c>
      <c r="BE90" s="54">
        <f t="shared" si="35"/>
        <v>-256.19035269272342</v>
      </c>
      <c r="BF90" s="54">
        <f t="shared" si="36"/>
        <v>-1.8092539031971995</v>
      </c>
      <c r="BG90" s="54">
        <f t="shared" si="37"/>
        <v>-1.8092539031971995</v>
      </c>
    </row>
    <row r="91" spans="2:59" x14ac:dyDescent="0.25">
      <c r="B91" s="93">
        <v>15120.879120879117</v>
      </c>
      <c r="C91" s="90">
        <v>1046.1653440667706</v>
      </c>
      <c r="D91" s="90">
        <v>69.16968108151741</v>
      </c>
      <c r="E91" s="90">
        <v>2469.5987928237591</v>
      </c>
      <c r="F91" s="89">
        <v>203.57031508684648</v>
      </c>
      <c r="H91" s="92">
        <f t="shared" si="24"/>
        <v>15120.879120879117</v>
      </c>
      <c r="I91" s="54">
        <f t="shared" si="25"/>
        <v>7.3881733338048772</v>
      </c>
      <c r="J91" s="54">
        <f t="shared" si="26"/>
        <v>17.440669440845756</v>
      </c>
      <c r="K91" s="54">
        <f t="shared" si="27"/>
        <v>69.16968108151741</v>
      </c>
      <c r="L91" s="64">
        <f t="shared" si="28"/>
        <v>203.57031508684648</v>
      </c>
      <c r="N91" s="91">
        <v>11698.838223753432</v>
      </c>
      <c r="O91" s="90">
        <v>27616.511021586615</v>
      </c>
      <c r="P91" s="54">
        <f t="shared" si="29"/>
        <v>11.698838223753432</v>
      </c>
      <c r="Q91" s="54">
        <f t="shared" si="30"/>
        <v>27.616511021586614</v>
      </c>
      <c r="R91" s="90">
        <v>0.95495723486069872</v>
      </c>
      <c r="S91" s="89">
        <v>0.919970970411218</v>
      </c>
      <c r="T91" s="88">
        <v>310.31209022170339</v>
      </c>
      <c r="U91" s="87">
        <f t="shared" si="31"/>
        <v>0.31031209022170342</v>
      </c>
      <c r="AO91" s="91">
        <v>241.48725202051014</v>
      </c>
      <c r="AP91" s="89">
        <v>2091.6622607038371</v>
      </c>
      <c r="AQ91" s="5">
        <f t="shared" si="32"/>
        <v>0.24148725202051013</v>
      </c>
      <c r="AR91" s="41">
        <f t="shared" si="33"/>
        <v>2.0916622607038371</v>
      </c>
      <c r="AT91" s="54">
        <v>22.99999999999995</v>
      </c>
      <c r="AU91" s="54">
        <v>0</v>
      </c>
      <c r="AW91" s="54">
        <v>300</v>
      </c>
      <c r="AX91" s="54">
        <v>269.60123161577417</v>
      </c>
      <c r="AY91" s="54">
        <v>223.87201956271102</v>
      </c>
      <c r="AZ91" s="54">
        <v>200.58334593398382</v>
      </c>
      <c r="BA91" s="54">
        <v>0</v>
      </c>
      <c r="BB91" s="54">
        <v>0</v>
      </c>
      <c r="BD91" s="54">
        <f t="shared" si="34"/>
        <v>-253.22836428047708</v>
      </c>
      <c r="BE91" s="54">
        <f t="shared" si="35"/>
        <v>-253.22836428047708</v>
      </c>
      <c r="BF91" s="54">
        <f t="shared" si="36"/>
        <v>-1.7883359059355726</v>
      </c>
      <c r="BG91" s="54">
        <f t="shared" si="37"/>
        <v>-1.7883359059355726</v>
      </c>
    </row>
    <row r="92" spans="2:59" x14ac:dyDescent="0.25">
      <c r="B92" s="93">
        <v>15296.703296703294</v>
      </c>
      <c r="C92" s="90">
        <v>1042.1161174623389</v>
      </c>
      <c r="D92" s="90">
        <v>68.924752601874644</v>
      </c>
      <c r="E92" s="90">
        <v>2441.224589591774</v>
      </c>
      <c r="F92" s="89">
        <v>200.28120711824948</v>
      </c>
      <c r="H92" s="92">
        <f t="shared" si="24"/>
        <v>15296.703296703294</v>
      </c>
      <c r="I92" s="54">
        <f t="shared" si="25"/>
        <v>7.3595771007227331</v>
      </c>
      <c r="J92" s="54">
        <f t="shared" si="26"/>
        <v>17.240286649659421</v>
      </c>
      <c r="K92" s="54">
        <f t="shared" si="27"/>
        <v>68.924752601874644</v>
      </c>
      <c r="L92" s="64">
        <f t="shared" si="28"/>
        <v>200.28120711824948</v>
      </c>
      <c r="N92" s="91">
        <v>11789.063863588359</v>
      </c>
      <c r="O92" s="90">
        <v>27616.646657515856</v>
      </c>
      <c r="P92" s="54">
        <f t="shared" si="29"/>
        <v>11.789063863588359</v>
      </c>
      <c r="Q92" s="54">
        <f t="shared" si="30"/>
        <v>27.616646657515854</v>
      </c>
      <c r="R92" s="90">
        <v>0.954892105404336</v>
      </c>
      <c r="S92" s="89">
        <v>0.92182163505320569</v>
      </c>
      <c r="T92" s="88">
        <v>317.11706321356911</v>
      </c>
      <c r="U92" s="87">
        <f t="shared" si="31"/>
        <v>0.31711706321356914</v>
      </c>
      <c r="AO92" s="91">
        <v>239.78007670326195</v>
      </c>
      <c r="AP92" s="89">
        <v>2024.6178593890036</v>
      </c>
      <c r="AQ92" s="5">
        <f t="shared" si="32"/>
        <v>0.23978007670326196</v>
      </c>
      <c r="AR92" s="41">
        <f t="shared" si="33"/>
        <v>2.0246178593890036</v>
      </c>
      <c r="AT92" s="54">
        <v>23.399999999999949</v>
      </c>
      <c r="AU92" s="54">
        <v>0</v>
      </c>
      <c r="AW92" s="54">
        <v>300</v>
      </c>
      <c r="AX92" s="54">
        <v>268.63443159786607</v>
      </c>
      <c r="AY92" s="54">
        <v>226.29282888735608</v>
      </c>
      <c r="AZ92" s="54">
        <v>202.9157104215883</v>
      </c>
      <c r="BA92" s="54">
        <v>0</v>
      </c>
      <c r="BB92" s="54">
        <v>0</v>
      </c>
      <c r="BD92" s="54">
        <f t="shared" si="34"/>
        <v>-250.33123856277024</v>
      </c>
      <c r="BE92" s="54">
        <f t="shared" si="35"/>
        <v>-250.33123856277024</v>
      </c>
      <c r="BF92" s="54">
        <f t="shared" si="36"/>
        <v>-1.7678759785506373</v>
      </c>
      <c r="BG92" s="54">
        <f t="shared" si="37"/>
        <v>-1.7678759785506373</v>
      </c>
    </row>
    <row r="93" spans="2:59" x14ac:dyDescent="0.25">
      <c r="B93" s="93">
        <v>15472.52747252747</v>
      </c>
      <c r="C93" s="90">
        <v>1038.0112099495313</v>
      </c>
      <c r="D93" s="90">
        <v>68.676291416484389</v>
      </c>
      <c r="E93" s="90">
        <v>2426.8302492645425</v>
      </c>
      <c r="F93" s="89">
        <v>198.67978307027988</v>
      </c>
      <c r="H93" s="92">
        <f t="shared" si="24"/>
        <v>15472.52747252747</v>
      </c>
      <c r="I93" s="54">
        <f t="shared" si="25"/>
        <v>7.3305876408865212</v>
      </c>
      <c r="J93" s="54">
        <f t="shared" si="26"/>
        <v>17.13863170384564</v>
      </c>
      <c r="K93" s="54">
        <f t="shared" si="27"/>
        <v>68.676291416484389</v>
      </c>
      <c r="L93" s="64">
        <f t="shared" si="28"/>
        <v>198.67978307027988</v>
      </c>
      <c r="N93" s="91">
        <v>11877.599323435954</v>
      </c>
      <c r="O93" s="90">
        <v>27769.369974491819</v>
      </c>
      <c r="P93" s="54">
        <f t="shared" si="29"/>
        <v>11.877599323435954</v>
      </c>
      <c r="Q93" s="54">
        <f t="shared" si="30"/>
        <v>27.76936997449182</v>
      </c>
      <c r="R93" s="90">
        <v>0.95481761119184971</v>
      </c>
      <c r="S93" s="89">
        <v>0.92299594819060615</v>
      </c>
      <c r="T93" s="88">
        <v>323.99552339791774</v>
      </c>
      <c r="U93" s="87">
        <f t="shared" si="31"/>
        <v>0.32399552339791776</v>
      </c>
      <c r="AO93" s="91">
        <v>238.05446552722483</v>
      </c>
      <c r="AP93" s="89">
        <v>1992.3701076378252</v>
      </c>
      <c r="AQ93" s="5">
        <f t="shared" si="32"/>
        <v>0.23805446552722484</v>
      </c>
      <c r="AR93" s="41">
        <f t="shared" si="33"/>
        <v>1.9923701076378253</v>
      </c>
      <c r="AT93" s="54">
        <v>23.599999999999948</v>
      </c>
      <c r="AU93" s="54">
        <v>0</v>
      </c>
      <c r="AW93" s="54">
        <v>300</v>
      </c>
      <c r="AX93" s="54">
        <v>269.65649480263147</v>
      </c>
      <c r="AY93" s="54">
        <v>228.70885421764842</v>
      </c>
      <c r="AZ93" s="54">
        <v>205.24807490919275</v>
      </c>
      <c r="BA93" s="54">
        <v>0</v>
      </c>
      <c r="BB93" s="54">
        <v>0</v>
      </c>
      <c r="BD93" s="54">
        <f t="shared" si="34"/>
        <v>-247.49680865862987</v>
      </c>
      <c r="BE93" s="54">
        <f t="shared" si="35"/>
        <v>-247.49680865862987</v>
      </c>
      <c r="BF93" s="54">
        <f t="shared" si="36"/>
        <v>-1.7478588182106629</v>
      </c>
      <c r="BG93" s="54">
        <f t="shared" si="37"/>
        <v>-1.7478588182106629</v>
      </c>
    </row>
    <row r="94" spans="2:59" x14ac:dyDescent="0.25">
      <c r="B94" s="93">
        <v>15648.351648351649</v>
      </c>
      <c r="C94" s="90">
        <v>1033.8499710511201</v>
      </c>
      <c r="D94" s="90">
        <v>68.424259041626556</v>
      </c>
      <c r="E94" s="90">
        <v>2398.2303846813297</v>
      </c>
      <c r="F94" s="89">
        <v>195.55960913503606</v>
      </c>
      <c r="H94" s="92">
        <f t="shared" si="24"/>
        <v>15648.351648351649</v>
      </c>
      <c r="I94" s="54">
        <f t="shared" si="25"/>
        <v>7.3012003605305091</v>
      </c>
      <c r="J94" s="54">
        <f t="shared" si="26"/>
        <v>16.936655259048941</v>
      </c>
      <c r="K94" s="54">
        <f t="shared" si="27"/>
        <v>68.424259041626556</v>
      </c>
      <c r="L94" s="64">
        <f t="shared" si="28"/>
        <v>195.55960913503606</v>
      </c>
      <c r="N94" s="91">
        <v>11964.415354945944</v>
      </c>
      <c r="O94" s="90">
        <v>27753.953903008267</v>
      </c>
      <c r="P94" s="54">
        <f t="shared" si="29"/>
        <v>11.964415354945945</v>
      </c>
      <c r="Q94" s="54">
        <f t="shared" si="30"/>
        <v>27.753953903008266</v>
      </c>
      <c r="R94" s="90">
        <v>0.95473382745333091</v>
      </c>
      <c r="S94" s="89">
        <v>0.92465229054810971</v>
      </c>
      <c r="T94" s="88">
        <v>330.94747077474926</v>
      </c>
      <c r="U94" s="87">
        <f t="shared" si="31"/>
        <v>0.33094747077474929</v>
      </c>
      <c r="AO94" s="91">
        <v>236.31041849239875</v>
      </c>
      <c r="AP94" s="89">
        <v>1930.2829920419258</v>
      </c>
      <c r="AQ94" s="5">
        <f t="shared" si="32"/>
        <v>0.23631041849239875</v>
      </c>
      <c r="AR94" s="41">
        <f t="shared" si="33"/>
        <v>1.9302829920419258</v>
      </c>
      <c r="AT94" s="54">
        <v>23.999999999999947</v>
      </c>
      <c r="AU94" s="54">
        <v>0</v>
      </c>
      <c r="AW94" s="54">
        <v>300</v>
      </c>
      <c r="AX94" s="54">
        <v>268.74735501938301</v>
      </c>
      <c r="AY94" s="54">
        <v>231.12002398529179</v>
      </c>
      <c r="AZ94" s="54">
        <v>207.58043939679723</v>
      </c>
      <c r="BA94" s="54">
        <v>0</v>
      </c>
      <c r="BB94" s="54">
        <v>0</v>
      </c>
      <c r="BD94" s="54">
        <f t="shared" si="34"/>
        <v>-244.72300083641218</v>
      </c>
      <c r="BE94" s="54">
        <f t="shared" si="35"/>
        <v>-244.72300083641218</v>
      </c>
      <c r="BF94" s="54">
        <f t="shared" si="36"/>
        <v>-1.7282697799181652</v>
      </c>
      <c r="BG94" s="54">
        <f t="shared" si="37"/>
        <v>-1.7282697799181652</v>
      </c>
    </row>
    <row r="95" spans="2:59" x14ac:dyDescent="0.25">
      <c r="B95" s="93">
        <v>15824.17582417582</v>
      </c>
      <c r="C95" s="90">
        <v>1029.6317312511583</v>
      </c>
      <c r="D95" s="90">
        <v>68.168615867206839</v>
      </c>
      <c r="E95" s="90">
        <v>2383.7561489890336</v>
      </c>
      <c r="F95" s="89">
        <v>194.03949613512381</v>
      </c>
      <c r="H95" s="92">
        <f t="shared" si="24"/>
        <v>15824.17582417582</v>
      </c>
      <c r="I95" s="54">
        <f t="shared" si="25"/>
        <v>7.2714105314347339</v>
      </c>
      <c r="J95" s="54">
        <f t="shared" si="26"/>
        <v>16.834436080431029</v>
      </c>
      <c r="K95" s="54">
        <f t="shared" si="27"/>
        <v>68.168615867206839</v>
      </c>
      <c r="L95" s="64">
        <f t="shared" si="28"/>
        <v>194.03949613512381</v>
      </c>
      <c r="N95" s="91">
        <v>12049.482148636909</v>
      </c>
      <c r="O95" s="90">
        <v>27896.408290606978</v>
      </c>
      <c r="P95" s="54">
        <f t="shared" si="29"/>
        <v>12.04948214863691</v>
      </c>
      <c r="Q95" s="54">
        <f t="shared" si="30"/>
        <v>27.896408290606978</v>
      </c>
      <c r="R95" s="90">
        <v>0.9546408171056997</v>
      </c>
      <c r="S95" s="89">
        <v>0.92571026013016133</v>
      </c>
      <c r="T95" s="88">
        <v>337.97290534406375</v>
      </c>
      <c r="U95" s="87">
        <f t="shared" si="31"/>
        <v>0.33797290534406377</v>
      </c>
      <c r="AO95" s="91">
        <v>234.54793559878379</v>
      </c>
      <c r="AP95" s="89">
        <v>1900.3908878851137</v>
      </c>
      <c r="AQ95" s="5">
        <f t="shared" si="32"/>
        <v>0.23454793559878381</v>
      </c>
      <c r="AR95" s="41">
        <f t="shared" si="33"/>
        <v>1.9003908878851137</v>
      </c>
      <c r="AT95" s="54">
        <v>24.199999999999946</v>
      </c>
      <c r="AU95" s="54">
        <v>0</v>
      </c>
      <c r="AW95" s="54">
        <v>300</v>
      </c>
      <c r="AX95" s="54">
        <v>269.76426009433089</v>
      </c>
      <c r="AY95" s="54">
        <v>233.52626547105342</v>
      </c>
      <c r="AZ95" s="54">
        <v>209.91280388440168</v>
      </c>
      <c r="BA95" s="54">
        <v>0</v>
      </c>
      <c r="BB95" s="54">
        <v>0</v>
      </c>
      <c r="BD95" s="54">
        <f t="shared" si="34"/>
        <v>-242.00782945120426</v>
      </c>
      <c r="BE95" s="54">
        <f t="shared" si="35"/>
        <v>-242.00782945120426</v>
      </c>
      <c r="BF95" s="54">
        <f t="shared" si="36"/>
        <v>-1.7090948407570923</v>
      </c>
      <c r="BG95" s="54">
        <f t="shared" si="37"/>
        <v>-1.7090948407570923</v>
      </c>
    </row>
    <row r="96" spans="2:59" x14ac:dyDescent="0.25">
      <c r="B96" s="93">
        <v>15999.999999999996</v>
      </c>
      <c r="C96" s="90">
        <v>1025.3558012875951</v>
      </c>
      <c r="D96" s="90">
        <v>67.909321114906277</v>
      </c>
      <c r="E96" s="90">
        <v>2355.0557450082047</v>
      </c>
      <c r="F96" s="89">
        <v>191.07597664761704</v>
      </c>
      <c r="H96" s="92"/>
      <c r="I96" s="54"/>
      <c r="J96" s="54"/>
      <c r="K96" s="54"/>
      <c r="L96" s="64"/>
      <c r="N96" s="91">
        <v>12132.769313147963</v>
      </c>
      <c r="O96" s="90">
        <v>27866.763944678765</v>
      </c>
      <c r="P96" s="54"/>
      <c r="Q96" s="54"/>
      <c r="R96" s="90">
        <v>0.95453863097160008</v>
      </c>
      <c r="S96" s="89">
        <v>0.92719303821827137</v>
      </c>
      <c r="T96" s="88">
        <v>345.07182710586125</v>
      </c>
      <c r="U96" s="87"/>
      <c r="AO96" s="91">
        <v>232.7670168463797</v>
      </c>
      <c r="AP96" s="89">
        <v>1842.785723807089</v>
      </c>
      <c r="AQ96" s="5"/>
      <c r="AR96" s="41"/>
      <c r="AT96" s="54">
        <v>24.599999999999945</v>
      </c>
      <c r="AU96" s="54">
        <v>0</v>
      </c>
      <c r="AW96" s="54">
        <v>300</v>
      </c>
      <c r="AX96" s="54">
        <v>268.90778023008579</v>
      </c>
      <c r="AY96" s="54">
        <v>235.92750474612188</v>
      </c>
      <c r="AZ96" s="54">
        <v>212.24516837200613</v>
      </c>
      <c r="BA96" s="54">
        <v>0</v>
      </c>
      <c r="BB96" s="54">
        <v>0</v>
      </c>
      <c r="BD96" s="54">
        <f t="shared" si="34"/>
        <v>0</v>
      </c>
      <c r="BE96" s="54">
        <f t="shared" si="35"/>
        <v>0</v>
      </c>
      <c r="BF96" s="54">
        <f t="shared" si="36"/>
        <v>0</v>
      </c>
      <c r="BG96" s="54">
        <f t="shared" si="37"/>
        <v>0</v>
      </c>
    </row>
    <row r="97" spans="2:59" x14ac:dyDescent="0.25">
      <c r="B97" s="93"/>
      <c r="C97" s="90"/>
      <c r="D97" s="90"/>
      <c r="E97" s="90"/>
      <c r="F97" s="89"/>
      <c r="H97" s="92"/>
      <c r="I97" s="54"/>
      <c r="J97" s="54"/>
      <c r="K97" s="54"/>
      <c r="L97" s="64"/>
      <c r="N97" s="91"/>
      <c r="O97" s="90"/>
      <c r="P97" s="54"/>
      <c r="Q97" s="54"/>
      <c r="R97" s="90"/>
      <c r="S97" s="89"/>
      <c r="T97" s="88"/>
      <c r="U97" s="87"/>
      <c r="AO97" s="91"/>
      <c r="AP97" s="89"/>
      <c r="AQ97" s="5"/>
      <c r="AR97" s="41"/>
      <c r="AT97" s="54"/>
      <c r="AU97" s="54"/>
      <c r="AW97" s="54"/>
      <c r="AX97" s="54"/>
      <c r="AY97" s="54"/>
      <c r="AZ97" s="54"/>
      <c r="BA97" s="54"/>
      <c r="BB97" s="54"/>
      <c r="BD97" s="54">
        <f t="shared" si="34"/>
        <v>0</v>
      </c>
      <c r="BE97" s="54">
        <f t="shared" si="35"/>
        <v>0</v>
      </c>
      <c r="BF97" s="54">
        <f t="shared" si="36"/>
        <v>0</v>
      </c>
      <c r="BG97" s="54">
        <f t="shared" si="37"/>
        <v>0</v>
      </c>
    </row>
    <row r="98" spans="2:59" x14ac:dyDescent="0.25">
      <c r="B98" s="93"/>
      <c r="C98" s="90"/>
      <c r="D98" s="90"/>
      <c r="E98" s="90"/>
      <c r="F98" s="89"/>
      <c r="H98" s="92"/>
      <c r="I98" s="54"/>
      <c r="J98" s="54"/>
      <c r="K98" s="54"/>
      <c r="L98" s="64"/>
      <c r="N98" s="91"/>
      <c r="O98" s="90"/>
      <c r="P98" s="54"/>
      <c r="Q98" s="54"/>
      <c r="R98" s="90"/>
      <c r="S98" s="89"/>
      <c r="T98" s="88"/>
      <c r="U98" s="87"/>
      <c r="AO98" s="91"/>
      <c r="AP98" s="89"/>
      <c r="AQ98" s="5"/>
      <c r="AR98" s="41"/>
      <c r="AT98" s="54"/>
      <c r="AU98" s="54"/>
      <c r="AW98" s="54"/>
      <c r="AX98" s="54"/>
      <c r="AY98" s="54"/>
      <c r="AZ98" s="54"/>
      <c r="BA98" s="54"/>
      <c r="BB98" s="54"/>
      <c r="BD98" s="54">
        <f t="shared" si="34"/>
        <v>0</v>
      </c>
      <c r="BE98" s="54">
        <f t="shared" si="35"/>
        <v>0</v>
      </c>
      <c r="BF98" s="54">
        <f t="shared" si="36"/>
        <v>0</v>
      </c>
      <c r="BG98" s="54">
        <f t="shared" si="37"/>
        <v>0</v>
      </c>
    </row>
    <row r="99" spans="2:59" x14ac:dyDescent="0.25">
      <c r="B99" s="93"/>
      <c r="C99" s="90"/>
      <c r="D99" s="90"/>
      <c r="E99" s="90"/>
      <c r="F99" s="89"/>
      <c r="H99" s="92"/>
      <c r="I99" s="54"/>
      <c r="J99" s="54"/>
      <c r="K99" s="54"/>
      <c r="L99" s="64"/>
      <c r="N99" s="91"/>
      <c r="O99" s="90"/>
      <c r="P99" s="54"/>
      <c r="Q99" s="54"/>
      <c r="R99" s="90"/>
      <c r="S99" s="89"/>
      <c r="T99" s="88"/>
      <c r="U99" s="87"/>
      <c r="AO99" s="91"/>
      <c r="AP99" s="89"/>
      <c r="AQ99" s="5"/>
      <c r="AR99" s="41"/>
      <c r="AT99" s="54"/>
      <c r="AU99" s="54"/>
      <c r="AW99" s="54"/>
      <c r="AX99" s="54"/>
      <c r="AY99" s="54"/>
      <c r="AZ99" s="54"/>
      <c r="BA99" s="54"/>
      <c r="BB99" s="54"/>
      <c r="BD99" s="54">
        <f t="shared" si="34"/>
        <v>0</v>
      </c>
      <c r="BE99" s="54">
        <f t="shared" si="35"/>
        <v>0</v>
      </c>
      <c r="BF99" s="54">
        <f t="shared" si="36"/>
        <v>0</v>
      </c>
      <c r="BG99" s="54">
        <f t="shared" si="37"/>
        <v>0</v>
      </c>
    </row>
    <row r="100" spans="2:59" ht="13.8" thickBot="1" x14ac:dyDescent="0.3">
      <c r="B100" s="93"/>
      <c r="C100" s="90"/>
      <c r="D100" s="90"/>
      <c r="E100" s="90"/>
      <c r="F100" s="89"/>
      <c r="H100" s="92"/>
      <c r="I100" s="54"/>
      <c r="J100" s="54"/>
      <c r="K100" s="54"/>
      <c r="L100" s="64"/>
      <c r="N100" s="91"/>
      <c r="O100" s="90"/>
      <c r="P100" s="54"/>
      <c r="Q100" s="54"/>
      <c r="R100" s="90"/>
      <c r="S100" s="89"/>
      <c r="T100" s="88"/>
      <c r="U100" s="87"/>
      <c r="AO100" s="86"/>
      <c r="AP100" s="85"/>
      <c r="AQ100" s="3"/>
      <c r="AR100" s="23"/>
      <c r="AT100" s="54"/>
      <c r="AU100" s="54"/>
      <c r="AW100" s="54"/>
      <c r="AX100" s="54"/>
      <c r="AY100" s="54"/>
      <c r="AZ100" s="54"/>
      <c r="BA100" s="54"/>
      <c r="BB100" s="54"/>
      <c r="BD100" s="54">
        <f t="shared" si="34"/>
        <v>0</v>
      </c>
      <c r="BE100" s="54">
        <f t="shared" si="35"/>
        <v>0</v>
      </c>
      <c r="BF100" s="54">
        <f t="shared" si="36"/>
        <v>0</v>
      </c>
      <c r="BG100" s="54">
        <f t="shared" si="37"/>
        <v>0</v>
      </c>
    </row>
    <row r="101" spans="2:59" x14ac:dyDescent="0.25">
      <c r="B101" s="2"/>
      <c r="C101" s="54"/>
      <c r="D101" s="54"/>
      <c r="E101" s="54"/>
      <c r="F101" s="64"/>
      <c r="H101" s="2"/>
      <c r="I101" s="54"/>
      <c r="J101" s="54"/>
      <c r="K101" s="54"/>
      <c r="L101" s="64"/>
      <c r="N101" s="2"/>
      <c r="O101" s="54"/>
      <c r="P101" s="54"/>
      <c r="Q101" s="54"/>
      <c r="R101" s="54"/>
      <c r="S101" s="64"/>
      <c r="T101" s="2"/>
      <c r="U101" s="64"/>
    </row>
    <row r="102" spans="2:59" x14ac:dyDescent="0.25">
      <c r="B102" s="2"/>
      <c r="C102" s="54"/>
      <c r="D102" s="54"/>
      <c r="E102" s="54"/>
      <c r="F102" s="64"/>
      <c r="H102" s="2"/>
      <c r="I102" s="54"/>
      <c r="J102" s="54"/>
      <c r="K102" s="54"/>
      <c r="L102" s="64"/>
      <c r="N102" s="2"/>
      <c r="O102" s="54"/>
      <c r="P102" s="54"/>
      <c r="Q102" s="54"/>
      <c r="R102" s="54"/>
      <c r="S102" s="64"/>
      <c r="T102" s="2"/>
      <c r="U102" s="64"/>
    </row>
    <row r="103" spans="2:59" x14ac:dyDescent="0.25">
      <c r="B103" s="2"/>
      <c r="C103" s="54"/>
      <c r="D103" s="54"/>
      <c r="E103" s="54"/>
      <c r="F103" s="64"/>
      <c r="H103" s="2"/>
      <c r="I103" s="54"/>
      <c r="J103" s="54"/>
      <c r="K103" s="54"/>
      <c r="L103" s="64"/>
      <c r="N103" s="2"/>
      <c r="O103" s="54"/>
      <c r="P103" s="54"/>
      <c r="Q103" s="54"/>
      <c r="R103" s="54"/>
      <c r="S103" s="64"/>
      <c r="T103" s="2"/>
      <c r="U103" s="64"/>
    </row>
    <row r="104" spans="2:59" x14ac:dyDescent="0.25">
      <c r="B104" s="2"/>
      <c r="C104" s="54"/>
      <c r="D104" s="54"/>
      <c r="E104" s="54"/>
      <c r="F104" s="64"/>
      <c r="H104" s="2"/>
      <c r="I104" s="54"/>
      <c r="J104" s="54"/>
      <c r="K104" s="54"/>
      <c r="L104" s="64"/>
      <c r="N104" s="2"/>
      <c r="O104" s="54"/>
      <c r="P104" s="54"/>
      <c r="Q104" s="54"/>
      <c r="R104" s="54"/>
      <c r="S104" s="64"/>
      <c r="T104" s="2"/>
      <c r="U104" s="64"/>
    </row>
    <row r="105" spans="2:59" x14ac:dyDescent="0.25">
      <c r="B105" s="2"/>
      <c r="C105" s="54"/>
      <c r="D105" s="54"/>
      <c r="E105" s="54"/>
      <c r="F105" s="64"/>
      <c r="H105" s="2"/>
      <c r="I105" s="54"/>
      <c r="J105" s="54"/>
      <c r="K105" s="54"/>
      <c r="L105" s="64"/>
      <c r="N105" s="2"/>
      <c r="O105" s="54"/>
      <c r="P105" s="54"/>
      <c r="Q105" s="54"/>
      <c r="R105" s="54"/>
      <c r="S105" s="64"/>
      <c r="T105" s="2"/>
      <c r="U105" s="64"/>
    </row>
    <row r="106" spans="2:59" x14ac:dyDescent="0.25">
      <c r="B106" s="2"/>
      <c r="C106" s="54"/>
      <c r="D106" s="54"/>
      <c r="E106" s="54"/>
      <c r="F106" s="64"/>
      <c r="H106" s="2"/>
      <c r="I106" s="54"/>
      <c r="J106" s="54"/>
      <c r="K106" s="54"/>
      <c r="L106" s="64"/>
      <c r="N106" s="2"/>
      <c r="O106" s="54"/>
      <c r="P106" s="54"/>
      <c r="Q106" s="54"/>
      <c r="R106" s="54"/>
      <c r="S106" s="64"/>
      <c r="T106" s="2"/>
      <c r="U106" s="64"/>
    </row>
    <row r="107" spans="2:59" x14ac:dyDescent="0.25">
      <c r="B107" s="2"/>
      <c r="C107" s="54"/>
      <c r="D107" s="54"/>
      <c r="E107" s="54"/>
      <c r="F107" s="64"/>
      <c r="H107" s="2"/>
      <c r="I107" s="54"/>
      <c r="J107" s="54"/>
      <c r="K107" s="54"/>
      <c r="L107" s="64"/>
      <c r="N107" s="2"/>
      <c r="O107" s="54"/>
      <c r="P107" s="54"/>
      <c r="Q107" s="54"/>
      <c r="R107" s="54"/>
      <c r="S107" s="64"/>
      <c r="T107" s="2"/>
      <c r="U107" s="64"/>
    </row>
    <row r="108" spans="2:59" x14ac:dyDescent="0.25">
      <c r="B108" s="2"/>
      <c r="C108" s="54"/>
      <c r="D108" s="54"/>
      <c r="E108" s="54"/>
      <c r="F108" s="64"/>
      <c r="H108" s="2"/>
      <c r="I108" s="54"/>
      <c r="J108" s="54"/>
      <c r="K108" s="54"/>
      <c r="L108" s="64"/>
      <c r="N108" s="2"/>
      <c r="O108" s="54"/>
      <c r="P108" s="54"/>
      <c r="Q108" s="54"/>
      <c r="R108" s="54"/>
      <c r="S108" s="64"/>
      <c r="T108" s="2"/>
      <c r="U108" s="64"/>
    </row>
    <row r="109" spans="2:59" x14ac:dyDescent="0.25">
      <c r="B109" s="2"/>
      <c r="C109" s="54"/>
      <c r="D109" s="54"/>
      <c r="E109" s="54"/>
      <c r="F109" s="64"/>
      <c r="H109" s="2"/>
      <c r="I109" s="54"/>
      <c r="J109" s="54"/>
      <c r="K109" s="54"/>
      <c r="L109" s="64"/>
      <c r="N109" s="2"/>
      <c r="O109" s="54"/>
      <c r="P109" s="54"/>
      <c r="Q109" s="54"/>
      <c r="R109" s="54"/>
      <c r="S109" s="64"/>
      <c r="T109" s="2"/>
      <c r="U109" s="64"/>
    </row>
    <row r="110" spans="2:59" x14ac:dyDescent="0.25">
      <c r="B110" s="2"/>
      <c r="C110" s="54"/>
      <c r="D110" s="54"/>
      <c r="E110" s="54"/>
      <c r="F110" s="64"/>
      <c r="H110" s="2"/>
      <c r="I110" s="54"/>
      <c r="J110" s="54"/>
      <c r="K110" s="54"/>
      <c r="L110" s="64"/>
      <c r="N110" s="2"/>
      <c r="O110" s="54"/>
      <c r="P110" s="54"/>
      <c r="Q110" s="54"/>
      <c r="R110" s="54"/>
      <c r="S110" s="64"/>
      <c r="T110" s="2"/>
      <c r="U110" s="64"/>
    </row>
    <row r="111" spans="2:59" x14ac:dyDescent="0.25">
      <c r="B111" s="2"/>
      <c r="C111" s="54"/>
      <c r="D111" s="54"/>
      <c r="E111" s="54"/>
      <c r="F111" s="64"/>
      <c r="H111" s="2"/>
      <c r="I111" s="54"/>
      <c r="J111" s="54"/>
      <c r="K111" s="54"/>
      <c r="L111" s="64"/>
      <c r="N111" s="2"/>
      <c r="O111" s="54"/>
      <c r="P111" s="54"/>
      <c r="Q111" s="54"/>
      <c r="R111" s="54"/>
      <c r="S111" s="64"/>
      <c r="T111" s="2"/>
      <c r="U111" s="64"/>
    </row>
    <row r="112" spans="2:59" x14ac:dyDescent="0.25">
      <c r="B112" s="2"/>
      <c r="C112" s="54"/>
      <c r="D112" s="54"/>
      <c r="E112" s="54"/>
      <c r="F112" s="64"/>
      <c r="H112" s="2"/>
      <c r="I112" s="54"/>
      <c r="J112" s="54"/>
      <c r="K112" s="54"/>
      <c r="L112" s="64"/>
      <c r="N112" s="2"/>
      <c r="O112" s="54"/>
      <c r="P112" s="54"/>
      <c r="Q112" s="54"/>
      <c r="R112" s="54"/>
      <c r="S112" s="64"/>
      <c r="T112" s="2"/>
      <c r="U112" s="64"/>
    </row>
    <row r="113" spans="2:21" x14ac:dyDescent="0.25">
      <c r="B113" s="2"/>
      <c r="C113" s="54"/>
      <c r="D113" s="54"/>
      <c r="E113" s="54"/>
      <c r="F113" s="64"/>
      <c r="H113" s="2"/>
      <c r="I113" s="54"/>
      <c r="J113" s="54"/>
      <c r="K113" s="54"/>
      <c r="L113" s="64"/>
      <c r="N113" s="2"/>
      <c r="O113" s="54"/>
      <c r="P113" s="54"/>
      <c r="Q113" s="54"/>
      <c r="R113" s="54"/>
      <c r="S113" s="64"/>
      <c r="T113" s="2"/>
      <c r="U113" s="64"/>
    </row>
    <row r="114" spans="2:21" x14ac:dyDescent="0.25">
      <c r="B114" s="2"/>
      <c r="C114" s="54"/>
      <c r="D114" s="54"/>
      <c r="E114" s="54"/>
      <c r="F114" s="64"/>
      <c r="H114" s="2"/>
      <c r="I114" s="54"/>
      <c r="J114" s="54"/>
      <c r="K114" s="54"/>
      <c r="L114" s="64"/>
      <c r="N114" s="2"/>
      <c r="O114" s="54"/>
      <c r="P114" s="54"/>
      <c r="Q114" s="54"/>
      <c r="R114" s="54"/>
      <c r="S114" s="64"/>
      <c r="T114" s="2"/>
      <c r="U114" s="64"/>
    </row>
    <row r="115" spans="2:21" x14ac:dyDescent="0.25">
      <c r="B115" s="2"/>
      <c r="C115" s="54"/>
      <c r="D115" s="54"/>
      <c r="E115" s="54"/>
      <c r="F115" s="64"/>
      <c r="H115" s="2"/>
      <c r="I115" s="54"/>
      <c r="J115" s="54"/>
      <c r="K115" s="54"/>
      <c r="L115" s="64"/>
      <c r="N115" s="2"/>
      <c r="O115" s="54"/>
      <c r="P115" s="54"/>
      <c r="Q115" s="54"/>
      <c r="R115" s="54"/>
      <c r="S115" s="64"/>
      <c r="T115" s="2"/>
      <c r="U115" s="64"/>
    </row>
    <row r="116" spans="2:21" x14ac:dyDescent="0.25">
      <c r="B116" s="2"/>
      <c r="C116" s="54"/>
      <c r="D116" s="54"/>
      <c r="E116" s="54"/>
      <c r="F116" s="64"/>
      <c r="H116" s="2"/>
      <c r="I116" s="54"/>
      <c r="J116" s="54"/>
      <c r="K116" s="54"/>
      <c r="L116" s="64"/>
      <c r="N116" s="2"/>
      <c r="O116" s="54"/>
      <c r="P116" s="54"/>
      <c r="Q116" s="54"/>
      <c r="R116" s="54"/>
      <c r="S116" s="64"/>
      <c r="T116" s="2"/>
      <c r="U116" s="64"/>
    </row>
    <row r="117" spans="2:21" x14ac:dyDescent="0.25">
      <c r="B117" s="2"/>
      <c r="C117" s="54"/>
      <c r="D117" s="54"/>
      <c r="E117" s="54"/>
      <c r="F117" s="64"/>
      <c r="H117" s="2"/>
      <c r="I117" s="54"/>
      <c r="J117" s="54"/>
      <c r="K117" s="54"/>
      <c r="L117" s="64"/>
      <c r="N117" s="2"/>
      <c r="O117" s="54"/>
      <c r="P117" s="54"/>
      <c r="Q117" s="54"/>
      <c r="R117" s="54"/>
      <c r="S117" s="64"/>
      <c r="T117" s="2"/>
      <c r="U117" s="64"/>
    </row>
    <row r="118" spans="2:21" x14ac:dyDescent="0.25">
      <c r="B118" s="2"/>
      <c r="C118" s="54"/>
      <c r="D118" s="54"/>
      <c r="E118" s="54"/>
      <c r="F118" s="64"/>
      <c r="H118" s="2"/>
      <c r="I118" s="54"/>
      <c r="J118" s="54"/>
      <c r="K118" s="54"/>
      <c r="L118" s="64"/>
      <c r="N118" s="2"/>
      <c r="O118" s="54"/>
      <c r="P118" s="54"/>
      <c r="Q118" s="54"/>
      <c r="R118" s="54"/>
      <c r="S118" s="64"/>
      <c r="T118" s="2"/>
      <c r="U118" s="64"/>
    </row>
    <row r="119" spans="2:21" x14ac:dyDescent="0.25">
      <c r="B119" s="2"/>
      <c r="C119" s="54"/>
      <c r="D119" s="54"/>
      <c r="E119" s="54"/>
      <c r="F119" s="64"/>
      <c r="H119" s="2"/>
      <c r="I119" s="54"/>
      <c r="J119" s="54"/>
      <c r="K119" s="54"/>
      <c r="L119" s="64"/>
      <c r="N119" s="2"/>
      <c r="O119" s="54"/>
      <c r="P119" s="54"/>
      <c r="Q119" s="54"/>
      <c r="R119" s="54"/>
      <c r="S119" s="64"/>
      <c r="T119" s="2"/>
      <c r="U119" s="64"/>
    </row>
    <row r="120" spans="2:21" x14ac:dyDescent="0.25">
      <c r="B120" s="2"/>
      <c r="C120" s="54"/>
      <c r="D120" s="54"/>
      <c r="E120" s="54"/>
      <c r="F120" s="64"/>
      <c r="H120" s="2"/>
      <c r="I120" s="54"/>
      <c r="J120" s="54"/>
      <c r="K120" s="54"/>
      <c r="L120" s="64"/>
      <c r="N120" s="2"/>
      <c r="O120" s="54"/>
      <c r="P120" s="54"/>
      <c r="Q120" s="54"/>
      <c r="R120" s="54"/>
      <c r="S120" s="64"/>
      <c r="T120" s="2"/>
      <c r="U120" s="64"/>
    </row>
    <row r="121" spans="2:21" x14ac:dyDescent="0.25">
      <c r="B121" s="2"/>
      <c r="C121" s="54"/>
      <c r="D121" s="54"/>
      <c r="E121" s="54"/>
      <c r="F121" s="64"/>
      <c r="H121" s="2"/>
      <c r="I121" s="54"/>
      <c r="J121" s="54"/>
      <c r="K121" s="54"/>
      <c r="L121" s="64"/>
      <c r="N121" s="2"/>
      <c r="O121" s="54"/>
      <c r="P121" s="54"/>
      <c r="Q121" s="54"/>
      <c r="R121" s="54"/>
      <c r="S121" s="64"/>
      <c r="T121" s="2"/>
      <c r="U121" s="64"/>
    </row>
    <row r="122" spans="2:21" x14ac:dyDescent="0.25">
      <c r="B122" s="2"/>
      <c r="C122" s="54"/>
      <c r="D122" s="54"/>
      <c r="E122" s="54"/>
      <c r="F122" s="64"/>
      <c r="H122" s="2"/>
      <c r="I122" s="54"/>
      <c r="J122" s="54"/>
      <c r="K122" s="54"/>
      <c r="L122" s="64"/>
      <c r="N122" s="2"/>
      <c r="O122" s="54"/>
      <c r="P122" s="54"/>
      <c r="Q122" s="54"/>
      <c r="R122" s="54"/>
      <c r="S122" s="64"/>
      <c r="T122" s="2"/>
      <c r="U122" s="64"/>
    </row>
    <row r="123" spans="2:21" x14ac:dyDescent="0.25">
      <c r="B123" s="2"/>
      <c r="C123" s="54"/>
      <c r="D123" s="54"/>
      <c r="E123" s="54"/>
      <c r="F123" s="64"/>
      <c r="H123" s="2"/>
      <c r="I123" s="54"/>
      <c r="J123" s="54"/>
      <c r="K123" s="54"/>
      <c r="L123" s="64"/>
      <c r="N123" s="2"/>
      <c r="O123" s="54"/>
      <c r="P123" s="54"/>
      <c r="Q123" s="54"/>
      <c r="R123" s="54"/>
      <c r="S123" s="64"/>
      <c r="T123" s="2"/>
      <c r="U123" s="64"/>
    </row>
    <row r="124" spans="2:21" x14ac:dyDescent="0.25">
      <c r="B124" s="2"/>
      <c r="C124" s="54"/>
      <c r="D124" s="54"/>
      <c r="E124" s="54"/>
      <c r="F124" s="64"/>
      <c r="H124" s="2"/>
      <c r="I124" s="54"/>
      <c r="J124" s="54"/>
      <c r="K124" s="54"/>
      <c r="L124" s="64"/>
      <c r="N124" s="2"/>
      <c r="O124" s="54"/>
      <c r="P124" s="54"/>
      <c r="Q124" s="54"/>
      <c r="R124" s="54"/>
      <c r="S124" s="64"/>
      <c r="T124" s="2"/>
      <c r="U124" s="64"/>
    </row>
    <row r="125" spans="2:21" x14ac:dyDescent="0.25">
      <c r="B125" s="2"/>
      <c r="C125" s="54"/>
      <c r="D125" s="54"/>
      <c r="E125" s="54"/>
      <c r="F125" s="64"/>
      <c r="H125" s="2"/>
      <c r="I125" s="54"/>
      <c r="J125" s="54"/>
      <c r="K125" s="54"/>
      <c r="L125" s="64"/>
      <c r="N125" s="2"/>
      <c r="O125" s="54"/>
      <c r="P125" s="54"/>
      <c r="Q125" s="54"/>
      <c r="R125" s="54"/>
      <c r="S125" s="64"/>
      <c r="T125" s="2"/>
      <c r="U125" s="64"/>
    </row>
    <row r="126" spans="2:21" x14ac:dyDescent="0.25">
      <c r="B126" s="2"/>
      <c r="C126" s="54"/>
      <c r="D126" s="54"/>
      <c r="E126" s="54"/>
      <c r="F126" s="64"/>
      <c r="H126" s="2"/>
      <c r="I126" s="54"/>
      <c r="J126" s="54"/>
      <c r="K126" s="54"/>
      <c r="L126" s="64"/>
      <c r="N126" s="2"/>
      <c r="O126" s="54"/>
      <c r="P126" s="54"/>
      <c r="Q126" s="54"/>
      <c r="R126" s="54"/>
      <c r="S126" s="64"/>
      <c r="T126" s="2"/>
      <c r="U126" s="64"/>
    </row>
    <row r="127" spans="2:21" x14ac:dyDescent="0.25">
      <c r="B127" s="2"/>
      <c r="C127" s="54"/>
      <c r="D127" s="54"/>
      <c r="E127" s="54"/>
      <c r="F127" s="64"/>
      <c r="H127" s="2"/>
      <c r="I127" s="54"/>
      <c r="J127" s="54"/>
      <c r="K127" s="54"/>
      <c r="L127" s="64"/>
      <c r="N127" s="2"/>
      <c r="O127" s="54"/>
      <c r="P127" s="54"/>
      <c r="Q127" s="54"/>
      <c r="R127" s="54"/>
      <c r="S127" s="64"/>
      <c r="T127" s="2"/>
      <c r="U127" s="64"/>
    </row>
    <row r="128" spans="2:21" x14ac:dyDescent="0.25">
      <c r="B128" s="2"/>
      <c r="C128" s="54"/>
      <c r="D128" s="54"/>
      <c r="E128" s="54"/>
      <c r="F128" s="64"/>
      <c r="H128" s="2"/>
      <c r="I128" s="54"/>
      <c r="J128" s="54"/>
      <c r="K128" s="54"/>
      <c r="L128" s="64"/>
      <c r="N128" s="2"/>
      <c r="O128" s="54"/>
      <c r="P128" s="54"/>
      <c r="Q128" s="54"/>
      <c r="R128" s="54"/>
      <c r="S128" s="64"/>
      <c r="T128" s="2"/>
      <c r="U128" s="64"/>
    </row>
    <row r="129" spans="2:21" x14ac:dyDescent="0.25">
      <c r="B129" s="2"/>
      <c r="C129" s="54"/>
      <c r="D129" s="54"/>
      <c r="E129" s="54"/>
      <c r="F129" s="64"/>
      <c r="H129" s="2"/>
      <c r="I129" s="54"/>
      <c r="J129" s="54"/>
      <c r="K129" s="54"/>
      <c r="L129" s="64"/>
      <c r="N129" s="2"/>
      <c r="O129" s="54"/>
      <c r="P129" s="54"/>
      <c r="Q129" s="54"/>
      <c r="R129" s="54"/>
      <c r="S129" s="64"/>
      <c r="T129" s="2"/>
      <c r="U129" s="64"/>
    </row>
    <row r="130" spans="2:21" x14ac:dyDescent="0.25">
      <c r="B130" s="2"/>
      <c r="C130" s="54"/>
      <c r="D130" s="54"/>
      <c r="E130" s="54"/>
      <c r="F130" s="64"/>
      <c r="H130" s="2"/>
      <c r="I130" s="54"/>
      <c r="J130" s="54"/>
      <c r="K130" s="54"/>
      <c r="L130" s="64"/>
      <c r="N130" s="2"/>
      <c r="O130" s="54"/>
      <c r="P130" s="54"/>
      <c r="Q130" s="54"/>
      <c r="R130" s="54"/>
      <c r="S130" s="64"/>
      <c r="T130" s="2"/>
      <c r="U130" s="64"/>
    </row>
    <row r="131" spans="2:21" x14ac:dyDescent="0.25">
      <c r="B131" s="2"/>
      <c r="C131" s="54"/>
      <c r="D131" s="54"/>
      <c r="E131" s="54"/>
      <c r="F131" s="64"/>
      <c r="H131" s="2"/>
      <c r="I131" s="54"/>
      <c r="J131" s="54"/>
      <c r="K131" s="54"/>
      <c r="L131" s="64"/>
      <c r="N131" s="2"/>
      <c r="O131" s="54"/>
      <c r="P131" s="54"/>
      <c r="Q131" s="54"/>
      <c r="R131" s="54"/>
      <c r="S131" s="64"/>
      <c r="T131" s="2"/>
      <c r="U131" s="64"/>
    </row>
    <row r="132" spans="2:21" x14ac:dyDescent="0.25">
      <c r="B132" s="2"/>
      <c r="C132" s="54"/>
      <c r="D132" s="54"/>
      <c r="E132" s="54"/>
      <c r="F132" s="64"/>
      <c r="H132" s="2"/>
      <c r="I132" s="54"/>
      <c r="J132" s="54"/>
      <c r="K132" s="54"/>
      <c r="L132" s="64"/>
      <c r="N132" s="2"/>
      <c r="O132" s="54"/>
      <c r="P132" s="54"/>
      <c r="Q132" s="54"/>
      <c r="R132" s="54"/>
      <c r="S132" s="64"/>
      <c r="T132" s="2"/>
      <c r="U132" s="64"/>
    </row>
    <row r="133" spans="2:21" x14ac:dyDescent="0.25">
      <c r="B133" s="2"/>
      <c r="C133" s="54"/>
      <c r="D133" s="54"/>
      <c r="E133" s="54"/>
      <c r="F133" s="64"/>
      <c r="H133" s="2"/>
      <c r="I133" s="54"/>
      <c r="J133" s="54"/>
      <c r="K133" s="54"/>
      <c r="L133" s="64"/>
      <c r="N133" s="2"/>
      <c r="O133" s="54"/>
      <c r="P133" s="54"/>
      <c r="Q133" s="54"/>
      <c r="R133" s="54"/>
      <c r="S133" s="64"/>
      <c r="T133" s="2"/>
      <c r="U133" s="64"/>
    </row>
    <row r="134" spans="2:21" x14ac:dyDescent="0.25">
      <c r="B134" s="2"/>
      <c r="C134" s="54"/>
      <c r="D134" s="54"/>
      <c r="E134" s="54"/>
      <c r="F134" s="64"/>
      <c r="H134" s="2"/>
      <c r="I134" s="54"/>
      <c r="J134" s="54"/>
      <c r="K134" s="54"/>
      <c r="L134" s="64"/>
      <c r="N134" s="2"/>
      <c r="O134" s="54"/>
      <c r="P134" s="54"/>
      <c r="Q134" s="54"/>
      <c r="R134" s="54"/>
      <c r="S134" s="64"/>
      <c r="T134" s="2"/>
      <c r="U134" s="64"/>
    </row>
    <row r="135" spans="2:21" x14ac:dyDescent="0.25">
      <c r="B135" s="2"/>
      <c r="C135" s="54"/>
      <c r="D135" s="54"/>
      <c r="E135" s="54"/>
      <c r="F135" s="64"/>
      <c r="H135" s="2"/>
      <c r="I135" s="54"/>
      <c r="J135" s="54"/>
      <c r="K135" s="54"/>
      <c r="L135" s="64"/>
      <c r="N135" s="2"/>
      <c r="O135" s="54"/>
      <c r="P135" s="54"/>
      <c r="Q135" s="54"/>
      <c r="R135" s="54"/>
      <c r="S135" s="64"/>
      <c r="T135" s="2"/>
      <c r="U135" s="64"/>
    </row>
    <row r="136" spans="2:21" x14ac:dyDescent="0.25">
      <c r="B136" s="2"/>
      <c r="C136" s="54"/>
      <c r="D136" s="54"/>
      <c r="E136" s="54"/>
      <c r="F136" s="64"/>
      <c r="H136" s="2"/>
      <c r="I136" s="54"/>
      <c r="J136" s="54"/>
      <c r="K136" s="54"/>
      <c r="L136" s="64"/>
      <c r="N136" s="2"/>
      <c r="O136" s="54"/>
      <c r="P136" s="54"/>
      <c r="Q136" s="54"/>
      <c r="R136" s="54"/>
      <c r="S136" s="64"/>
      <c r="T136" s="2"/>
      <c r="U136" s="64"/>
    </row>
    <row r="137" spans="2:21" x14ac:dyDescent="0.25">
      <c r="B137" s="2"/>
      <c r="C137" s="54"/>
      <c r="D137" s="54"/>
      <c r="E137" s="54"/>
      <c r="F137" s="64"/>
      <c r="H137" s="2"/>
      <c r="I137" s="54"/>
      <c r="J137" s="54"/>
      <c r="K137" s="54"/>
      <c r="L137" s="64"/>
      <c r="N137" s="2"/>
      <c r="O137" s="54"/>
      <c r="P137" s="54"/>
      <c r="Q137" s="54"/>
      <c r="R137" s="54"/>
      <c r="S137" s="64"/>
      <c r="T137" s="2"/>
      <c r="U137" s="64"/>
    </row>
    <row r="138" spans="2:21" x14ac:dyDescent="0.25">
      <c r="B138" s="2"/>
      <c r="C138" s="54"/>
      <c r="D138" s="54"/>
      <c r="E138" s="54"/>
      <c r="F138" s="64"/>
      <c r="H138" s="2"/>
      <c r="I138" s="54"/>
      <c r="J138" s="54"/>
      <c r="K138" s="54"/>
      <c r="L138" s="64"/>
      <c r="N138" s="2"/>
      <c r="O138" s="54"/>
      <c r="P138" s="54"/>
      <c r="Q138" s="54"/>
      <c r="R138" s="54"/>
      <c r="S138" s="64"/>
      <c r="T138" s="2"/>
      <c r="U138" s="64"/>
    </row>
    <row r="139" spans="2:21" x14ac:dyDescent="0.25">
      <c r="B139" s="2"/>
      <c r="C139" s="54"/>
      <c r="D139" s="54"/>
      <c r="E139" s="54"/>
      <c r="F139" s="64"/>
      <c r="H139" s="2"/>
      <c r="I139" s="54"/>
      <c r="J139" s="54"/>
      <c r="K139" s="54"/>
      <c r="L139" s="64"/>
      <c r="N139" s="2"/>
      <c r="O139" s="54"/>
      <c r="P139" s="54"/>
      <c r="Q139" s="54"/>
      <c r="R139" s="54"/>
      <c r="S139" s="64"/>
      <c r="T139" s="2"/>
      <c r="U139" s="64"/>
    </row>
    <row r="140" spans="2:21" x14ac:dyDescent="0.25">
      <c r="B140" s="2"/>
      <c r="C140" s="54"/>
      <c r="D140" s="54"/>
      <c r="E140" s="54"/>
      <c r="F140" s="64"/>
      <c r="H140" s="2"/>
      <c r="I140" s="54"/>
      <c r="J140" s="54"/>
      <c r="K140" s="54"/>
      <c r="L140" s="64"/>
      <c r="N140" s="2"/>
      <c r="O140" s="54"/>
      <c r="P140" s="54"/>
      <c r="Q140" s="54"/>
      <c r="R140" s="54"/>
      <c r="S140" s="64"/>
      <c r="T140" s="2"/>
      <c r="U140" s="64"/>
    </row>
    <row r="141" spans="2:21" x14ac:dyDescent="0.25">
      <c r="B141" s="2"/>
      <c r="C141" s="54"/>
      <c r="D141" s="54"/>
      <c r="E141" s="54"/>
      <c r="F141" s="64"/>
      <c r="H141" s="2"/>
      <c r="I141" s="54"/>
      <c r="J141" s="54"/>
      <c r="K141" s="54"/>
      <c r="L141" s="64"/>
      <c r="N141" s="2"/>
      <c r="O141" s="54"/>
      <c r="P141" s="54"/>
      <c r="Q141" s="54"/>
      <c r="R141" s="54"/>
      <c r="S141" s="64"/>
      <c r="T141" s="2"/>
      <c r="U141" s="64"/>
    </row>
    <row r="142" spans="2:21" x14ac:dyDescent="0.25">
      <c r="B142" s="2"/>
      <c r="C142" s="54"/>
      <c r="D142" s="54"/>
      <c r="E142" s="54"/>
      <c r="F142" s="64"/>
      <c r="H142" s="2"/>
      <c r="I142" s="54"/>
      <c r="J142" s="54"/>
      <c r="K142" s="54"/>
      <c r="L142" s="64"/>
      <c r="N142" s="2"/>
      <c r="O142" s="54"/>
      <c r="P142" s="54"/>
      <c r="Q142" s="54"/>
      <c r="R142" s="54"/>
      <c r="S142" s="64"/>
      <c r="T142" s="2"/>
      <c r="U142" s="64"/>
    </row>
    <row r="143" spans="2:21" x14ac:dyDescent="0.25">
      <c r="B143" s="2"/>
      <c r="C143" s="54"/>
      <c r="D143" s="54"/>
      <c r="E143" s="54"/>
      <c r="F143" s="64"/>
      <c r="H143" s="2"/>
      <c r="I143" s="54"/>
      <c r="J143" s="54"/>
      <c r="K143" s="54"/>
      <c r="L143" s="64"/>
      <c r="N143" s="2"/>
      <c r="O143" s="54"/>
      <c r="P143" s="54"/>
      <c r="Q143" s="54"/>
      <c r="R143" s="54"/>
      <c r="S143" s="64"/>
      <c r="T143" s="2"/>
      <c r="U143" s="64"/>
    </row>
    <row r="144" spans="2:21" x14ac:dyDescent="0.25">
      <c r="B144" s="2"/>
      <c r="C144" s="54"/>
      <c r="D144" s="54"/>
      <c r="E144" s="54"/>
      <c r="F144" s="64"/>
      <c r="H144" s="2"/>
      <c r="I144" s="54"/>
      <c r="J144" s="54"/>
      <c r="K144" s="54"/>
      <c r="L144" s="64"/>
      <c r="N144" s="2"/>
      <c r="O144" s="54"/>
      <c r="P144" s="54"/>
      <c r="Q144" s="54"/>
      <c r="R144" s="54"/>
      <c r="S144" s="64"/>
      <c r="T144" s="2"/>
      <c r="U144" s="64"/>
    </row>
    <row r="145" spans="2:21" x14ac:dyDescent="0.25">
      <c r="B145" s="2"/>
      <c r="C145" s="54"/>
      <c r="D145" s="54"/>
      <c r="E145" s="54"/>
      <c r="F145" s="64"/>
      <c r="H145" s="2"/>
      <c r="I145" s="54"/>
      <c r="J145" s="54"/>
      <c r="K145" s="54"/>
      <c r="L145" s="64"/>
      <c r="N145" s="2"/>
      <c r="O145" s="54"/>
      <c r="P145" s="54"/>
      <c r="Q145" s="54"/>
      <c r="R145" s="54"/>
      <c r="S145" s="64"/>
      <c r="T145" s="2"/>
      <c r="U145" s="64"/>
    </row>
    <row r="146" spans="2:21" x14ac:dyDescent="0.25">
      <c r="B146" s="2"/>
      <c r="C146" s="54"/>
      <c r="D146" s="54"/>
      <c r="E146" s="54"/>
      <c r="F146" s="64"/>
      <c r="H146" s="2"/>
      <c r="I146" s="54"/>
      <c r="J146" s="54"/>
      <c r="K146" s="54"/>
      <c r="L146" s="64"/>
      <c r="N146" s="2"/>
      <c r="O146" s="54"/>
      <c r="P146" s="54"/>
      <c r="Q146" s="54"/>
      <c r="R146" s="54"/>
      <c r="S146" s="64"/>
      <c r="T146" s="2"/>
      <c r="U146" s="64"/>
    </row>
    <row r="147" spans="2:21" x14ac:dyDescent="0.25">
      <c r="B147" s="2"/>
      <c r="C147" s="54"/>
      <c r="D147" s="54"/>
      <c r="E147" s="54"/>
      <c r="F147" s="64"/>
      <c r="H147" s="2"/>
      <c r="I147" s="54"/>
      <c r="J147" s="54"/>
      <c r="K147" s="54"/>
      <c r="L147" s="64"/>
      <c r="N147" s="2"/>
      <c r="O147" s="54"/>
      <c r="P147" s="54"/>
      <c r="Q147" s="54"/>
      <c r="R147" s="54"/>
      <c r="S147" s="64"/>
      <c r="T147" s="2"/>
      <c r="U147" s="64"/>
    </row>
    <row r="148" spans="2:21" x14ac:dyDescent="0.25">
      <c r="B148" s="2"/>
      <c r="C148" s="54"/>
      <c r="D148" s="54"/>
      <c r="E148" s="54"/>
      <c r="F148" s="64"/>
      <c r="H148" s="2"/>
      <c r="I148" s="54"/>
      <c r="J148" s="54"/>
      <c r="K148" s="54"/>
      <c r="L148" s="64"/>
      <c r="N148" s="2"/>
      <c r="O148" s="54"/>
      <c r="P148" s="54"/>
      <c r="Q148" s="54"/>
      <c r="R148" s="54"/>
      <c r="S148" s="64"/>
      <c r="T148" s="2"/>
      <c r="U148" s="64"/>
    </row>
    <row r="149" spans="2:21" x14ac:dyDescent="0.25">
      <c r="B149" s="2"/>
      <c r="C149" s="54"/>
      <c r="D149" s="54"/>
      <c r="E149" s="54"/>
      <c r="F149" s="64"/>
      <c r="H149" s="2"/>
      <c r="I149" s="54"/>
      <c r="J149" s="54"/>
      <c r="K149" s="54"/>
      <c r="L149" s="64"/>
      <c r="N149" s="2"/>
      <c r="O149" s="54"/>
      <c r="P149" s="54"/>
      <c r="Q149" s="54"/>
      <c r="R149" s="54"/>
      <c r="S149" s="64"/>
      <c r="T149" s="2"/>
      <c r="U149" s="64"/>
    </row>
    <row r="150" spans="2:21" x14ac:dyDescent="0.25">
      <c r="B150" s="2"/>
      <c r="C150" s="54"/>
      <c r="D150" s="54"/>
      <c r="E150" s="54"/>
      <c r="F150" s="64"/>
      <c r="H150" s="2"/>
      <c r="I150" s="54"/>
      <c r="J150" s="54"/>
      <c r="K150" s="54"/>
      <c r="L150" s="64"/>
      <c r="N150" s="2"/>
      <c r="O150" s="54"/>
      <c r="P150" s="54"/>
      <c r="Q150" s="54"/>
      <c r="R150" s="54"/>
      <c r="S150" s="64"/>
      <c r="T150" s="2"/>
      <c r="U150" s="64"/>
    </row>
    <row r="151" spans="2:21" x14ac:dyDescent="0.25">
      <c r="B151" s="2"/>
      <c r="C151" s="54"/>
      <c r="D151" s="54"/>
      <c r="E151" s="54"/>
      <c r="F151" s="64"/>
      <c r="H151" s="2"/>
      <c r="I151" s="54"/>
      <c r="J151" s="54"/>
      <c r="K151" s="54"/>
      <c r="L151" s="64"/>
      <c r="N151" s="2"/>
      <c r="O151" s="54"/>
      <c r="P151" s="54"/>
      <c r="Q151" s="54"/>
      <c r="R151" s="54"/>
      <c r="S151" s="64"/>
      <c r="T151" s="2"/>
      <c r="U151" s="64"/>
    </row>
    <row r="152" spans="2:21" x14ac:dyDescent="0.25">
      <c r="B152" s="2"/>
      <c r="C152" s="54"/>
      <c r="D152" s="54"/>
      <c r="E152" s="54"/>
      <c r="F152" s="64"/>
      <c r="H152" s="2"/>
      <c r="I152" s="54"/>
      <c r="J152" s="54"/>
      <c r="K152" s="54"/>
      <c r="L152" s="64"/>
      <c r="N152" s="2"/>
      <c r="O152" s="54"/>
      <c r="P152" s="54"/>
      <c r="Q152" s="54"/>
      <c r="R152" s="54"/>
      <c r="S152" s="64"/>
      <c r="T152" s="2"/>
      <c r="U152" s="64"/>
    </row>
    <row r="153" spans="2:21" x14ac:dyDescent="0.25">
      <c r="B153" s="2"/>
      <c r="C153" s="54"/>
      <c r="D153" s="54"/>
      <c r="E153" s="54"/>
      <c r="F153" s="64"/>
      <c r="H153" s="2"/>
      <c r="I153" s="54"/>
      <c r="J153" s="54"/>
      <c r="K153" s="54"/>
      <c r="L153" s="64"/>
      <c r="N153" s="2"/>
      <c r="O153" s="54"/>
      <c r="P153" s="54"/>
      <c r="Q153" s="54"/>
      <c r="R153" s="54"/>
      <c r="S153" s="64"/>
      <c r="T153" s="2"/>
      <c r="U153" s="64"/>
    </row>
    <row r="154" spans="2:21" x14ac:dyDescent="0.25">
      <c r="B154" s="2"/>
      <c r="C154" s="54"/>
      <c r="D154" s="54"/>
      <c r="E154" s="54"/>
      <c r="F154" s="64"/>
      <c r="H154" s="2"/>
      <c r="I154" s="54"/>
      <c r="J154" s="54"/>
      <c r="K154" s="54"/>
      <c r="L154" s="64"/>
      <c r="N154" s="2"/>
      <c r="O154" s="54"/>
      <c r="P154" s="54"/>
      <c r="Q154" s="54"/>
      <c r="R154" s="54"/>
      <c r="S154" s="64"/>
      <c r="T154" s="2"/>
      <c r="U154" s="64"/>
    </row>
    <row r="155" spans="2:21" x14ac:dyDescent="0.25">
      <c r="B155" s="2"/>
      <c r="C155" s="54"/>
      <c r="D155" s="54"/>
      <c r="E155" s="54"/>
      <c r="F155" s="64"/>
      <c r="H155" s="2"/>
      <c r="I155" s="54"/>
      <c r="J155" s="54"/>
      <c r="K155" s="54"/>
      <c r="L155" s="64"/>
      <c r="N155" s="2"/>
      <c r="O155" s="54"/>
      <c r="P155" s="54"/>
      <c r="Q155" s="54"/>
      <c r="R155" s="54"/>
      <c r="S155" s="64"/>
      <c r="T155" s="2"/>
      <c r="U155" s="64"/>
    </row>
    <row r="156" spans="2:21" x14ac:dyDescent="0.25">
      <c r="B156" s="2"/>
      <c r="C156" s="54"/>
      <c r="D156" s="54"/>
      <c r="E156" s="54"/>
      <c r="F156" s="64"/>
      <c r="H156" s="2"/>
      <c r="I156" s="54"/>
      <c r="J156" s="54"/>
      <c r="K156" s="54"/>
      <c r="L156" s="64"/>
      <c r="N156" s="2"/>
      <c r="O156" s="54"/>
      <c r="P156" s="54"/>
      <c r="Q156" s="54"/>
      <c r="R156" s="54"/>
      <c r="S156" s="64"/>
      <c r="T156" s="2"/>
      <c r="U156" s="64"/>
    </row>
    <row r="157" spans="2:21" x14ac:dyDescent="0.25">
      <c r="B157" s="2"/>
      <c r="C157" s="54"/>
      <c r="D157" s="54"/>
      <c r="E157" s="54"/>
      <c r="F157" s="64"/>
      <c r="H157" s="2"/>
      <c r="I157" s="54"/>
      <c r="J157" s="54"/>
      <c r="K157" s="54"/>
      <c r="L157" s="64"/>
      <c r="N157" s="2"/>
      <c r="O157" s="54"/>
      <c r="P157" s="54"/>
      <c r="Q157" s="54"/>
      <c r="R157" s="54"/>
      <c r="S157" s="64"/>
      <c r="T157" s="2"/>
      <c r="U157" s="64"/>
    </row>
    <row r="158" spans="2:21" x14ac:dyDescent="0.25">
      <c r="B158" s="2"/>
      <c r="C158" s="54"/>
      <c r="D158" s="54"/>
      <c r="E158" s="54"/>
      <c r="F158" s="64"/>
      <c r="H158" s="2"/>
      <c r="I158" s="54"/>
      <c r="J158" s="54"/>
      <c r="K158" s="54"/>
      <c r="L158" s="64"/>
      <c r="N158" s="2"/>
      <c r="O158" s="54"/>
      <c r="P158" s="54"/>
      <c r="Q158" s="54"/>
      <c r="R158" s="54"/>
      <c r="S158" s="64"/>
      <c r="T158" s="2"/>
      <c r="U158" s="64"/>
    </row>
    <row r="159" spans="2:21" x14ac:dyDescent="0.25">
      <c r="B159" s="2"/>
      <c r="C159" s="54"/>
      <c r="D159" s="54"/>
      <c r="E159" s="54"/>
      <c r="F159" s="64"/>
      <c r="H159" s="2"/>
      <c r="I159" s="54"/>
      <c r="J159" s="54"/>
      <c r="K159" s="54"/>
      <c r="L159" s="64"/>
      <c r="N159" s="2"/>
      <c r="O159" s="54"/>
      <c r="P159" s="54"/>
      <c r="Q159" s="54"/>
      <c r="R159" s="54"/>
      <c r="S159" s="64"/>
      <c r="T159" s="2"/>
      <c r="U159" s="64"/>
    </row>
    <row r="160" spans="2:21" x14ac:dyDescent="0.25">
      <c r="B160" s="2"/>
      <c r="C160" s="54"/>
      <c r="D160" s="54"/>
      <c r="E160" s="54"/>
      <c r="F160" s="64"/>
      <c r="H160" s="2"/>
      <c r="I160" s="54"/>
      <c r="J160" s="54"/>
      <c r="K160" s="54"/>
      <c r="L160" s="64"/>
      <c r="N160" s="2"/>
      <c r="O160" s="54"/>
      <c r="P160" s="54"/>
      <c r="Q160" s="54"/>
      <c r="R160" s="54"/>
      <c r="S160" s="64"/>
      <c r="T160" s="2"/>
      <c r="U160" s="64"/>
    </row>
    <row r="161" spans="2:21" x14ac:dyDescent="0.25">
      <c r="B161" s="2"/>
      <c r="C161" s="54"/>
      <c r="D161" s="54"/>
      <c r="E161" s="54"/>
      <c r="F161" s="64"/>
      <c r="H161" s="2"/>
      <c r="I161" s="54"/>
      <c r="J161" s="54"/>
      <c r="K161" s="54"/>
      <c r="L161" s="64"/>
      <c r="N161" s="2"/>
      <c r="O161" s="54"/>
      <c r="P161" s="54"/>
      <c r="Q161" s="54"/>
      <c r="R161" s="54"/>
      <c r="S161" s="64"/>
      <c r="T161" s="2"/>
      <c r="U161" s="64"/>
    </row>
    <row r="162" spans="2:21" x14ac:dyDescent="0.25">
      <c r="B162" s="2"/>
      <c r="C162" s="54"/>
      <c r="D162" s="54"/>
      <c r="E162" s="54"/>
      <c r="F162" s="64"/>
      <c r="H162" s="2"/>
      <c r="I162" s="54"/>
      <c r="J162" s="54"/>
      <c r="K162" s="54"/>
      <c r="L162" s="64"/>
      <c r="N162" s="2"/>
      <c r="O162" s="54"/>
      <c r="P162" s="54"/>
      <c r="Q162" s="54"/>
      <c r="R162" s="54"/>
      <c r="S162" s="64"/>
      <c r="T162" s="2"/>
      <c r="U162" s="64"/>
    </row>
    <row r="163" spans="2:21" x14ac:dyDescent="0.25">
      <c r="B163" s="2"/>
      <c r="C163" s="54"/>
      <c r="D163" s="54"/>
      <c r="E163" s="54"/>
      <c r="F163" s="64"/>
      <c r="H163" s="2"/>
      <c r="I163" s="54"/>
      <c r="J163" s="54"/>
      <c r="K163" s="54"/>
      <c r="L163" s="64"/>
      <c r="N163" s="2"/>
      <c r="O163" s="54"/>
      <c r="P163" s="54"/>
      <c r="Q163" s="54"/>
      <c r="R163" s="54"/>
      <c r="S163" s="64"/>
      <c r="T163" s="2"/>
      <c r="U163" s="64"/>
    </row>
    <row r="164" spans="2:21" x14ac:dyDescent="0.25">
      <c r="B164" s="2"/>
      <c r="C164" s="54"/>
      <c r="D164" s="54"/>
      <c r="E164" s="54"/>
      <c r="F164" s="64"/>
      <c r="H164" s="2"/>
      <c r="I164" s="54"/>
      <c r="J164" s="54"/>
      <c r="K164" s="54"/>
      <c r="L164" s="64"/>
      <c r="N164" s="2"/>
      <c r="O164" s="54"/>
      <c r="P164" s="54"/>
      <c r="Q164" s="54"/>
      <c r="R164" s="54"/>
      <c r="S164" s="64"/>
      <c r="T164" s="2"/>
      <c r="U164" s="64"/>
    </row>
    <row r="165" spans="2:21" x14ac:dyDescent="0.25">
      <c r="B165" s="2"/>
      <c r="C165" s="54"/>
      <c r="D165" s="54"/>
      <c r="E165" s="54"/>
      <c r="F165" s="64"/>
      <c r="H165" s="2"/>
      <c r="I165" s="54"/>
      <c r="J165" s="54"/>
      <c r="K165" s="54"/>
      <c r="L165" s="64"/>
      <c r="N165" s="2"/>
      <c r="O165" s="54"/>
      <c r="P165" s="54"/>
      <c r="Q165" s="54"/>
      <c r="R165" s="54"/>
      <c r="S165" s="64"/>
      <c r="T165" s="2"/>
      <c r="U165" s="64"/>
    </row>
    <row r="166" spans="2:21" x14ac:dyDescent="0.25">
      <c r="B166" s="2"/>
      <c r="C166" s="54"/>
      <c r="D166" s="54"/>
      <c r="E166" s="54"/>
      <c r="F166" s="64"/>
      <c r="H166" s="2"/>
      <c r="I166" s="54"/>
      <c r="J166" s="54"/>
      <c r="K166" s="54"/>
      <c r="L166" s="64"/>
      <c r="N166" s="2"/>
      <c r="O166" s="54"/>
      <c r="P166" s="54"/>
      <c r="Q166" s="54"/>
      <c r="R166" s="54"/>
      <c r="S166" s="64"/>
      <c r="T166" s="2"/>
      <c r="U166" s="64"/>
    </row>
    <row r="167" spans="2:21" x14ac:dyDescent="0.25">
      <c r="B167" s="2"/>
      <c r="C167" s="54"/>
      <c r="D167" s="54"/>
      <c r="E167" s="54"/>
      <c r="F167" s="64"/>
      <c r="H167" s="2"/>
      <c r="I167" s="54"/>
      <c r="J167" s="54"/>
      <c r="K167" s="54"/>
      <c r="L167" s="64"/>
      <c r="N167" s="2"/>
      <c r="O167" s="54"/>
      <c r="P167" s="54"/>
      <c r="Q167" s="54"/>
      <c r="R167" s="54"/>
      <c r="S167" s="64"/>
      <c r="T167" s="2"/>
      <c r="U167" s="64"/>
    </row>
    <row r="168" spans="2:21" x14ac:dyDescent="0.25">
      <c r="B168" s="2"/>
      <c r="C168" s="54"/>
      <c r="D168" s="54"/>
      <c r="E168" s="54"/>
      <c r="F168" s="64"/>
      <c r="H168" s="2"/>
      <c r="I168" s="54"/>
      <c r="J168" s="54"/>
      <c r="K168" s="54"/>
      <c r="L168" s="64"/>
      <c r="N168" s="2"/>
      <c r="O168" s="54"/>
      <c r="P168" s="54"/>
      <c r="Q168" s="54"/>
      <c r="R168" s="54"/>
      <c r="S168" s="64"/>
      <c r="T168" s="2"/>
      <c r="U168" s="64"/>
    </row>
    <row r="169" spans="2:21" x14ac:dyDescent="0.25">
      <c r="B169" s="2"/>
      <c r="C169" s="54"/>
      <c r="D169" s="54"/>
      <c r="E169" s="54"/>
      <c r="F169" s="64"/>
      <c r="H169" s="2"/>
      <c r="I169" s="54"/>
      <c r="J169" s="54"/>
      <c r="K169" s="54"/>
      <c r="L169" s="64"/>
      <c r="N169" s="2"/>
      <c r="O169" s="54"/>
      <c r="P169" s="54"/>
      <c r="Q169" s="54"/>
      <c r="R169" s="54"/>
      <c r="S169" s="64"/>
      <c r="T169" s="2"/>
      <c r="U169" s="64"/>
    </row>
    <row r="170" spans="2:21" x14ac:dyDescent="0.25">
      <c r="B170" s="2"/>
      <c r="C170" s="54"/>
      <c r="D170" s="54"/>
      <c r="E170" s="54"/>
      <c r="F170" s="64"/>
      <c r="H170" s="2"/>
      <c r="I170" s="54"/>
      <c r="J170" s="54"/>
      <c r="K170" s="54"/>
      <c r="L170" s="64"/>
      <c r="N170" s="2"/>
      <c r="O170" s="54"/>
      <c r="P170" s="54"/>
      <c r="Q170" s="54"/>
      <c r="R170" s="54"/>
      <c r="S170" s="64"/>
      <c r="T170" s="2"/>
      <c r="U170" s="64"/>
    </row>
    <row r="171" spans="2:21" x14ac:dyDescent="0.25">
      <c r="B171" s="2"/>
      <c r="C171" s="54"/>
      <c r="D171" s="54"/>
      <c r="E171" s="54"/>
      <c r="F171" s="64"/>
      <c r="H171" s="2"/>
      <c r="I171" s="54"/>
      <c r="J171" s="54"/>
      <c r="K171" s="54"/>
      <c r="L171" s="64"/>
      <c r="N171" s="2"/>
      <c r="O171" s="54"/>
      <c r="P171" s="54"/>
      <c r="Q171" s="54"/>
      <c r="R171" s="54"/>
      <c r="S171" s="64"/>
      <c r="T171" s="2"/>
      <c r="U171" s="64"/>
    </row>
    <row r="172" spans="2:21" x14ac:dyDescent="0.25">
      <c r="B172" s="2"/>
      <c r="C172" s="54"/>
      <c r="D172" s="54"/>
      <c r="E172" s="54"/>
      <c r="F172" s="64"/>
      <c r="H172" s="2"/>
      <c r="I172" s="54"/>
      <c r="J172" s="54"/>
      <c r="K172" s="54"/>
      <c r="L172" s="64"/>
      <c r="N172" s="2"/>
      <c r="O172" s="54"/>
      <c r="P172" s="54"/>
      <c r="Q172" s="54"/>
      <c r="R172" s="54"/>
      <c r="S172" s="64"/>
      <c r="T172" s="2"/>
      <c r="U172" s="64"/>
    </row>
    <row r="173" spans="2:21" x14ac:dyDescent="0.25">
      <c r="B173" s="2"/>
      <c r="C173" s="54"/>
      <c r="D173" s="54"/>
      <c r="E173" s="54"/>
      <c r="F173" s="64"/>
      <c r="H173" s="2"/>
      <c r="I173" s="54"/>
      <c r="J173" s="54"/>
      <c r="K173" s="54"/>
      <c r="L173" s="64"/>
      <c r="N173" s="2"/>
      <c r="O173" s="54"/>
      <c r="P173" s="54"/>
      <c r="Q173" s="54"/>
      <c r="R173" s="54"/>
      <c r="S173" s="64"/>
      <c r="T173" s="2"/>
      <c r="U173" s="64"/>
    </row>
    <row r="174" spans="2:21" x14ac:dyDescent="0.25">
      <c r="B174" s="2"/>
      <c r="C174" s="54"/>
      <c r="D174" s="54"/>
      <c r="E174" s="54"/>
      <c r="F174" s="64"/>
      <c r="H174" s="2"/>
      <c r="I174" s="54"/>
      <c r="J174" s="54"/>
      <c r="K174" s="54"/>
      <c r="L174" s="64"/>
      <c r="N174" s="2"/>
      <c r="O174" s="54"/>
      <c r="P174" s="54"/>
      <c r="Q174" s="54"/>
      <c r="R174" s="54"/>
      <c r="S174" s="64"/>
      <c r="T174" s="2"/>
      <c r="U174" s="64"/>
    </row>
    <row r="175" spans="2:21" x14ac:dyDescent="0.25">
      <c r="B175" s="2"/>
      <c r="C175" s="54"/>
      <c r="D175" s="54"/>
      <c r="E175" s="54"/>
      <c r="F175" s="64"/>
      <c r="H175" s="2"/>
      <c r="I175" s="54"/>
      <c r="J175" s="54"/>
      <c r="K175" s="54"/>
      <c r="L175" s="64"/>
      <c r="N175" s="2"/>
      <c r="O175" s="54"/>
      <c r="P175" s="54"/>
      <c r="Q175" s="54"/>
      <c r="R175" s="54"/>
      <c r="S175" s="64"/>
      <c r="T175" s="2"/>
      <c r="U175" s="64"/>
    </row>
    <row r="176" spans="2:21" x14ac:dyDescent="0.25">
      <c r="B176" s="2"/>
      <c r="C176" s="54"/>
      <c r="D176" s="54"/>
      <c r="E176" s="54"/>
      <c r="F176" s="64"/>
      <c r="H176" s="2"/>
      <c r="I176" s="54"/>
      <c r="J176" s="54"/>
      <c r="K176" s="54"/>
      <c r="L176" s="64"/>
      <c r="N176" s="2"/>
      <c r="O176" s="54"/>
      <c r="P176" s="54"/>
      <c r="Q176" s="54"/>
      <c r="R176" s="54"/>
      <c r="S176" s="64"/>
      <c r="T176" s="2"/>
      <c r="U176" s="64"/>
    </row>
    <row r="177" spans="2:21" x14ac:dyDescent="0.25">
      <c r="B177" s="2"/>
      <c r="C177" s="54"/>
      <c r="D177" s="54"/>
      <c r="E177" s="54"/>
      <c r="F177" s="64"/>
      <c r="H177" s="2"/>
      <c r="I177" s="54"/>
      <c r="J177" s="54"/>
      <c r="K177" s="54"/>
      <c r="L177" s="64"/>
      <c r="N177" s="2"/>
      <c r="O177" s="54"/>
      <c r="P177" s="54"/>
      <c r="Q177" s="54"/>
      <c r="R177" s="54"/>
      <c r="S177" s="64"/>
      <c r="T177" s="2"/>
      <c r="U177" s="64"/>
    </row>
    <row r="178" spans="2:21" x14ac:dyDescent="0.25">
      <c r="B178" s="2"/>
      <c r="C178" s="54"/>
      <c r="D178" s="54"/>
      <c r="E178" s="54"/>
      <c r="F178" s="64"/>
      <c r="H178" s="2"/>
      <c r="I178" s="54"/>
      <c r="J178" s="54"/>
      <c r="K178" s="54"/>
      <c r="L178" s="64"/>
      <c r="N178" s="2"/>
      <c r="O178" s="54"/>
      <c r="P178" s="54"/>
      <c r="Q178" s="54"/>
      <c r="R178" s="54"/>
      <c r="S178" s="64"/>
      <c r="T178" s="2"/>
      <c r="U178" s="64"/>
    </row>
    <row r="179" spans="2:21" x14ac:dyDescent="0.25">
      <c r="B179" s="2"/>
      <c r="C179" s="54"/>
      <c r="D179" s="54"/>
      <c r="E179" s="54"/>
      <c r="F179" s="64"/>
      <c r="H179" s="2"/>
      <c r="I179" s="54"/>
      <c r="J179" s="54"/>
      <c r="K179" s="54"/>
      <c r="L179" s="64"/>
      <c r="N179" s="2"/>
      <c r="O179" s="54"/>
      <c r="P179" s="54"/>
      <c r="Q179" s="54"/>
      <c r="R179" s="54"/>
      <c r="S179" s="64"/>
      <c r="T179" s="2"/>
      <c r="U179" s="64"/>
    </row>
    <row r="180" spans="2:21" x14ac:dyDescent="0.25">
      <c r="B180" s="2"/>
      <c r="C180" s="54"/>
      <c r="D180" s="54"/>
      <c r="E180" s="54"/>
      <c r="F180" s="64"/>
      <c r="H180" s="2"/>
      <c r="I180" s="54"/>
      <c r="J180" s="54"/>
      <c r="K180" s="54"/>
      <c r="L180" s="64"/>
      <c r="N180" s="2"/>
      <c r="O180" s="54"/>
      <c r="P180" s="54"/>
      <c r="Q180" s="54"/>
      <c r="R180" s="54"/>
      <c r="S180" s="64"/>
      <c r="T180" s="2"/>
      <c r="U180" s="64"/>
    </row>
    <row r="181" spans="2:21" x14ac:dyDescent="0.25">
      <c r="B181" s="2"/>
      <c r="C181" s="54"/>
      <c r="D181" s="54"/>
      <c r="E181" s="54"/>
      <c r="F181" s="64"/>
      <c r="H181" s="2"/>
      <c r="I181" s="54"/>
      <c r="J181" s="54"/>
      <c r="K181" s="54"/>
      <c r="L181" s="64"/>
      <c r="N181" s="2"/>
      <c r="O181" s="54"/>
      <c r="P181" s="54"/>
      <c r="Q181" s="54"/>
      <c r="R181" s="54"/>
      <c r="S181" s="64"/>
      <c r="T181" s="2"/>
      <c r="U181" s="64"/>
    </row>
    <row r="182" spans="2:21" x14ac:dyDescent="0.25">
      <c r="B182" s="2"/>
      <c r="C182" s="54"/>
      <c r="D182" s="54"/>
      <c r="E182" s="54"/>
      <c r="F182" s="64"/>
      <c r="H182" s="2"/>
      <c r="I182" s="54"/>
      <c r="J182" s="54"/>
      <c r="K182" s="54"/>
      <c r="L182" s="64"/>
      <c r="N182" s="2"/>
      <c r="O182" s="54"/>
      <c r="P182" s="54"/>
      <c r="Q182" s="54"/>
      <c r="R182" s="54"/>
      <c r="S182" s="64"/>
      <c r="T182" s="2"/>
      <c r="U182" s="64"/>
    </row>
    <row r="183" spans="2:21" x14ac:dyDescent="0.25">
      <c r="B183" s="2"/>
      <c r="C183" s="54"/>
      <c r="D183" s="54"/>
      <c r="E183" s="54"/>
      <c r="F183" s="64"/>
      <c r="H183" s="2"/>
      <c r="I183" s="54"/>
      <c r="J183" s="54"/>
      <c r="K183" s="54"/>
      <c r="L183" s="64"/>
      <c r="N183" s="2"/>
      <c r="O183" s="54"/>
      <c r="P183" s="54"/>
      <c r="Q183" s="54"/>
      <c r="R183" s="54"/>
      <c r="S183" s="64"/>
      <c r="T183" s="2"/>
      <c r="U183" s="64"/>
    </row>
    <row r="184" spans="2:21" x14ac:dyDescent="0.25">
      <c r="B184" s="2"/>
      <c r="C184" s="54"/>
      <c r="D184" s="54"/>
      <c r="E184" s="54"/>
      <c r="F184" s="64"/>
      <c r="H184" s="2"/>
      <c r="I184" s="54"/>
      <c r="J184" s="54"/>
      <c r="K184" s="54"/>
      <c r="L184" s="64"/>
      <c r="N184" s="2"/>
      <c r="O184" s="54"/>
      <c r="P184" s="54"/>
      <c r="Q184" s="54"/>
      <c r="R184" s="54"/>
      <c r="S184" s="64"/>
      <c r="T184" s="2"/>
      <c r="U184" s="64"/>
    </row>
    <row r="185" spans="2:21" x14ac:dyDescent="0.25">
      <c r="B185" s="2"/>
      <c r="C185" s="54"/>
      <c r="D185" s="54"/>
      <c r="E185" s="54"/>
      <c r="F185" s="64"/>
      <c r="H185" s="2"/>
      <c r="I185" s="54"/>
      <c r="J185" s="54"/>
      <c r="K185" s="54"/>
      <c r="L185" s="64"/>
      <c r="N185" s="2"/>
      <c r="O185" s="54"/>
      <c r="P185" s="54"/>
      <c r="Q185" s="54"/>
      <c r="R185" s="54"/>
      <c r="S185" s="64"/>
      <c r="T185" s="2"/>
      <c r="U185" s="64"/>
    </row>
    <row r="186" spans="2:21" x14ac:dyDescent="0.25">
      <c r="B186" s="2"/>
      <c r="C186" s="54"/>
      <c r="D186" s="54"/>
      <c r="E186" s="54"/>
      <c r="F186" s="64"/>
      <c r="H186" s="2"/>
      <c r="I186" s="54"/>
      <c r="J186" s="54"/>
      <c r="K186" s="54"/>
      <c r="L186" s="64"/>
      <c r="N186" s="2"/>
      <c r="O186" s="54"/>
      <c r="P186" s="54"/>
      <c r="Q186" s="54"/>
      <c r="R186" s="54"/>
      <c r="S186" s="64"/>
      <c r="T186" s="2"/>
      <c r="U186" s="64"/>
    </row>
    <row r="187" spans="2:21" x14ac:dyDescent="0.25">
      <c r="B187" s="2"/>
      <c r="C187" s="54"/>
      <c r="D187" s="54"/>
      <c r="E187" s="54"/>
      <c r="F187" s="64"/>
      <c r="H187" s="2"/>
      <c r="I187" s="54"/>
      <c r="J187" s="54"/>
      <c r="K187" s="54"/>
      <c r="L187" s="64"/>
      <c r="N187" s="2"/>
      <c r="O187" s="54"/>
      <c r="P187" s="54"/>
      <c r="Q187" s="54"/>
      <c r="R187" s="54"/>
      <c r="S187" s="64"/>
      <c r="T187" s="2"/>
      <c r="U187" s="64"/>
    </row>
    <row r="188" spans="2:21" ht="13.8" thickBot="1" x14ac:dyDescent="0.3">
      <c r="B188" s="84"/>
      <c r="C188" s="83"/>
      <c r="D188" s="83"/>
      <c r="E188" s="83"/>
      <c r="F188" s="82"/>
      <c r="H188" s="84"/>
      <c r="I188" s="83"/>
      <c r="J188" s="83"/>
      <c r="K188" s="83"/>
      <c r="L188" s="82"/>
      <c r="N188" s="84"/>
      <c r="O188" s="83"/>
      <c r="P188" s="83"/>
      <c r="Q188" s="83"/>
      <c r="R188" s="83"/>
      <c r="S188" s="82"/>
      <c r="T188" s="10"/>
      <c r="U188" s="6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X272"/>
  <sheetViews>
    <sheetView topLeftCell="Q1" workbookViewId="0">
      <selection activeCell="Q8" sqref="Q8"/>
    </sheetView>
  </sheetViews>
  <sheetFormatPr defaultRowHeight="13.2" x14ac:dyDescent="0.25"/>
  <cols>
    <col min="17" max="17" width="12.88671875" bestFit="1" customWidth="1"/>
    <col min="18" max="18" width="10.5546875" bestFit="1" customWidth="1"/>
  </cols>
  <sheetData>
    <row r="1" spans="3:50" x14ac:dyDescent="0.25">
      <c r="Q1" s="14" t="s">
        <v>354</v>
      </c>
      <c r="S1" t="s">
        <v>288</v>
      </c>
    </row>
    <row r="2" spans="3:50" x14ac:dyDescent="0.25">
      <c r="S2" s="146">
        <v>0</v>
      </c>
      <c r="T2" s="146">
        <v>0.54861937440778163</v>
      </c>
      <c r="U2" s="146">
        <v>1.2215284824543391</v>
      </c>
      <c r="V2" s="146">
        <v>1.8944375905008966</v>
      </c>
      <c r="W2" s="146">
        <v>2.5673466985474538</v>
      </c>
      <c r="X2" s="146">
        <v>3.240255806594011</v>
      </c>
      <c r="Y2" s="146">
        <v>3.9131649146405678</v>
      </c>
      <c r="Z2" s="146">
        <v>4.5860740226871259</v>
      </c>
      <c r="AA2" s="146">
        <v>5.2589831307336823</v>
      </c>
      <c r="AB2" s="146">
        <v>5.9298016445403494</v>
      </c>
      <c r="AC2" s="146">
        <v>6.5910900552124971</v>
      </c>
      <c r="AD2" s="146">
        <v>7.2421904817248244</v>
      </c>
      <c r="AE2" s="146">
        <v>7.8831029240773267</v>
      </c>
      <c r="AF2" s="146">
        <v>8.5138273822700103</v>
      </c>
      <c r="AG2" s="146">
        <v>9.1343638563028691</v>
      </c>
      <c r="AH2" s="146">
        <v>9.7447123461759038</v>
      </c>
      <c r="AI2" s="146">
        <v>10.344872851889122</v>
      </c>
      <c r="AJ2" s="146">
        <v>10.934884056391423</v>
      </c>
      <c r="AK2" s="146">
        <v>11.516198138590029</v>
      </c>
      <c r="AL2" s="146">
        <v>12.089552858163778</v>
      </c>
      <c r="AM2" s="146">
        <v>12.654948215112661</v>
      </c>
      <c r="AN2" s="146">
        <v>13.212384209436692</v>
      </c>
      <c r="AO2" s="146">
        <v>13.761860841135855</v>
      </c>
      <c r="AP2" s="146">
        <v>14.303378110210154</v>
      </c>
      <c r="AQ2" s="146">
        <v>14.836936016659598</v>
      </c>
      <c r="AR2" s="146">
        <v>15.362534560484178</v>
      </c>
      <c r="AS2" s="146">
        <v>15.880173741683901</v>
      </c>
      <c r="AT2" s="146">
        <v>16.389853560258761</v>
      </c>
      <c r="AU2" s="146">
        <v>16.891574016208757</v>
      </c>
      <c r="AV2" s="146">
        <v>17.385335109533898</v>
      </c>
      <c r="AW2" s="146">
        <v>17.871136840234175</v>
      </c>
      <c r="AX2" s="146"/>
    </row>
    <row r="3" spans="3:50" x14ac:dyDescent="0.25">
      <c r="Q3" t="s">
        <v>287</v>
      </c>
      <c r="R3" s="141">
        <v>0</v>
      </c>
      <c r="S3" s="144">
        <v>0</v>
      </c>
      <c r="T3" s="144">
        <v>0</v>
      </c>
      <c r="U3" s="144">
        <v>0</v>
      </c>
      <c r="V3" s="144">
        <v>0</v>
      </c>
      <c r="W3" s="144">
        <v>0</v>
      </c>
      <c r="X3" s="144">
        <v>0</v>
      </c>
      <c r="Y3" s="144">
        <v>0</v>
      </c>
      <c r="Z3" s="144">
        <v>0</v>
      </c>
      <c r="AA3" s="144">
        <v>0</v>
      </c>
      <c r="AB3" s="144">
        <v>0</v>
      </c>
      <c r="AC3" s="144">
        <v>0</v>
      </c>
      <c r="AD3" s="144">
        <v>0</v>
      </c>
      <c r="AE3" s="144">
        <v>0</v>
      </c>
      <c r="AF3" s="144">
        <v>0</v>
      </c>
      <c r="AG3" s="144">
        <v>0</v>
      </c>
      <c r="AH3" s="144">
        <v>0</v>
      </c>
      <c r="AI3" s="144">
        <v>0</v>
      </c>
      <c r="AJ3" s="144">
        <v>0</v>
      </c>
      <c r="AK3" s="144">
        <v>0</v>
      </c>
      <c r="AL3" s="144">
        <v>0</v>
      </c>
      <c r="AM3" s="144">
        <v>0</v>
      </c>
      <c r="AN3" s="144">
        <v>0</v>
      </c>
      <c r="AO3" s="144">
        <v>0</v>
      </c>
      <c r="AP3" s="144">
        <v>0</v>
      </c>
      <c r="AQ3" s="144">
        <v>0</v>
      </c>
      <c r="AR3" s="144">
        <v>0</v>
      </c>
      <c r="AS3" s="144">
        <v>0</v>
      </c>
      <c r="AT3" s="144">
        <v>0</v>
      </c>
      <c r="AU3" s="144">
        <v>0</v>
      </c>
      <c r="AV3" s="144">
        <v>0</v>
      </c>
      <c r="AW3" s="144">
        <v>0</v>
      </c>
      <c r="AX3" s="143"/>
    </row>
    <row r="4" spans="3:50" x14ac:dyDescent="0.25">
      <c r="R4" s="141">
        <v>56.915823303265803</v>
      </c>
      <c r="S4" s="144">
        <v>0</v>
      </c>
      <c r="T4" s="144">
        <v>0</v>
      </c>
      <c r="U4" s="144">
        <v>0</v>
      </c>
      <c r="V4" s="144">
        <v>0</v>
      </c>
      <c r="W4" s="144">
        <v>0</v>
      </c>
      <c r="X4" s="144">
        <v>0</v>
      </c>
      <c r="Y4" s="144">
        <v>0</v>
      </c>
      <c r="Z4" s="144">
        <v>0</v>
      </c>
      <c r="AA4" s="144">
        <v>0</v>
      </c>
      <c r="AB4" s="144">
        <v>0</v>
      </c>
      <c r="AC4" s="144">
        <v>0</v>
      </c>
      <c r="AD4" s="144">
        <v>0</v>
      </c>
      <c r="AE4" s="144">
        <v>0</v>
      </c>
      <c r="AF4" s="144">
        <v>0</v>
      </c>
      <c r="AG4" s="144">
        <v>0</v>
      </c>
      <c r="AH4" s="144">
        <v>0</v>
      </c>
      <c r="AI4" s="144">
        <v>0</v>
      </c>
      <c r="AJ4" s="144">
        <v>0</v>
      </c>
      <c r="AK4" s="144">
        <v>0</v>
      </c>
      <c r="AL4" s="144">
        <v>0</v>
      </c>
      <c r="AM4" s="144">
        <v>0</v>
      </c>
      <c r="AN4" s="144">
        <v>0</v>
      </c>
      <c r="AO4" s="144">
        <v>0</v>
      </c>
      <c r="AP4" s="144">
        <v>0</v>
      </c>
      <c r="AQ4" s="144">
        <v>0</v>
      </c>
      <c r="AR4" s="144">
        <v>0</v>
      </c>
      <c r="AS4" s="144">
        <v>0</v>
      </c>
      <c r="AT4" s="144">
        <v>0</v>
      </c>
      <c r="AU4" s="144">
        <v>0</v>
      </c>
      <c r="AV4" s="144">
        <v>0</v>
      </c>
      <c r="AW4" s="144">
        <v>0</v>
      </c>
      <c r="AX4" s="143"/>
    </row>
    <row r="5" spans="3:50" x14ac:dyDescent="0.25">
      <c r="C5" t="s">
        <v>286</v>
      </c>
      <c r="R5" s="141">
        <v>113.83164660653161</v>
      </c>
      <c r="S5" s="144">
        <v>0</v>
      </c>
      <c r="T5" s="144">
        <v>0</v>
      </c>
      <c r="U5" s="144">
        <v>0</v>
      </c>
      <c r="V5" s="144">
        <v>0</v>
      </c>
      <c r="W5" s="144">
        <v>0</v>
      </c>
      <c r="X5" s="144">
        <v>0</v>
      </c>
      <c r="Y5" s="144">
        <v>0</v>
      </c>
      <c r="Z5" s="144">
        <v>0</v>
      </c>
      <c r="AA5" s="144">
        <v>0</v>
      </c>
      <c r="AB5" s="144">
        <v>0</v>
      </c>
      <c r="AC5" s="144">
        <v>0</v>
      </c>
      <c r="AD5" s="144">
        <v>0</v>
      </c>
      <c r="AE5" s="144">
        <v>0</v>
      </c>
      <c r="AF5" s="144">
        <v>0</v>
      </c>
      <c r="AG5" s="144">
        <v>0</v>
      </c>
      <c r="AH5" s="144">
        <v>0</v>
      </c>
      <c r="AI5" s="144">
        <v>0</v>
      </c>
      <c r="AJ5" s="144">
        <v>0</v>
      </c>
      <c r="AK5" s="144">
        <v>0</v>
      </c>
      <c r="AL5" s="144">
        <v>0</v>
      </c>
      <c r="AM5" s="144">
        <v>0</v>
      </c>
      <c r="AN5" s="144">
        <v>0</v>
      </c>
      <c r="AO5" s="144">
        <v>0</v>
      </c>
      <c r="AP5" s="144">
        <v>0</v>
      </c>
      <c r="AQ5" s="144">
        <v>0</v>
      </c>
      <c r="AR5" s="144">
        <v>0</v>
      </c>
      <c r="AS5" s="144">
        <v>0</v>
      </c>
      <c r="AT5" s="144">
        <v>0</v>
      </c>
      <c r="AU5" s="144">
        <v>0</v>
      </c>
      <c r="AV5" s="144">
        <v>0</v>
      </c>
      <c r="AW5" s="144">
        <v>0</v>
      </c>
      <c r="AX5" s="143"/>
    </row>
    <row r="6" spans="3:50" x14ac:dyDescent="0.25">
      <c r="C6" t="s">
        <v>285</v>
      </c>
      <c r="R6" s="141">
        <v>170.74746990979745</v>
      </c>
      <c r="S6" s="144">
        <v>0</v>
      </c>
      <c r="T6" s="144">
        <v>0</v>
      </c>
      <c r="U6" s="144">
        <v>0</v>
      </c>
      <c r="V6" s="144">
        <v>0</v>
      </c>
      <c r="W6" s="144">
        <v>0</v>
      </c>
      <c r="X6" s="144">
        <v>0</v>
      </c>
      <c r="Y6" s="144">
        <v>0</v>
      </c>
      <c r="Z6" s="144">
        <v>0</v>
      </c>
      <c r="AA6" s="144">
        <v>0</v>
      </c>
      <c r="AB6" s="144">
        <v>0</v>
      </c>
      <c r="AC6" s="144">
        <v>0</v>
      </c>
      <c r="AD6" s="144">
        <v>0</v>
      </c>
      <c r="AE6" s="144">
        <v>0</v>
      </c>
      <c r="AF6" s="144">
        <v>0</v>
      </c>
      <c r="AG6" s="144">
        <v>0</v>
      </c>
      <c r="AH6" s="144">
        <v>0</v>
      </c>
      <c r="AI6" s="144">
        <v>0</v>
      </c>
      <c r="AJ6" s="144">
        <v>0</v>
      </c>
      <c r="AK6" s="144">
        <v>0</v>
      </c>
      <c r="AL6" s="144">
        <v>0</v>
      </c>
      <c r="AM6" s="144">
        <v>0</v>
      </c>
      <c r="AN6" s="144">
        <v>0</v>
      </c>
      <c r="AO6" s="144">
        <v>0</v>
      </c>
      <c r="AP6" s="144">
        <v>0</v>
      </c>
      <c r="AQ6" s="144">
        <v>0</v>
      </c>
      <c r="AR6" s="144">
        <v>0</v>
      </c>
      <c r="AS6" s="144">
        <v>0</v>
      </c>
      <c r="AT6" s="144">
        <v>0</v>
      </c>
      <c r="AU6" s="144">
        <v>0</v>
      </c>
      <c r="AV6" s="144">
        <v>0</v>
      </c>
      <c r="AW6" s="144">
        <v>0</v>
      </c>
      <c r="AX6" s="143"/>
    </row>
    <row r="7" spans="3:50" x14ac:dyDescent="0.25">
      <c r="C7" t="s">
        <v>284</v>
      </c>
      <c r="R7" s="141">
        <v>227.66329321306321</v>
      </c>
      <c r="S7" s="144">
        <v>0</v>
      </c>
      <c r="T7" s="144">
        <v>0</v>
      </c>
      <c r="U7" s="144">
        <v>0</v>
      </c>
      <c r="V7" s="144">
        <v>0</v>
      </c>
      <c r="W7" s="144">
        <v>0</v>
      </c>
      <c r="X7" s="144">
        <v>0</v>
      </c>
      <c r="Y7" s="144">
        <v>0</v>
      </c>
      <c r="Z7" s="144">
        <v>0</v>
      </c>
      <c r="AA7" s="144">
        <v>0</v>
      </c>
      <c r="AB7" s="144">
        <v>0</v>
      </c>
      <c r="AC7" s="144">
        <v>0</v>
      </c>
      <c r="AD7" s="144">
        <v>0</v>
      </c>
      <c r="AE7" s="144">
        <v>0</v>
      </c>
      <c r="AF7" s="144">
        <v>0</v>
      </c>
      <c r="AG7" s="144">
        <v>0</v>
      </c>
      <c r="AH7" s="144">
        <v>0</v>
      </c>
      <c r="AI7" s="144">
        <v>0</v>
      </c>
      <c r="AJ7" s="144">
        <v>0</v>
      </c>
      <c r="AK7" s="144">
        <v>0</v>
      </c>
      <c r="AL7" s="144">
        <v>0</v>
      </c>
      <c r="AM7" s="144">
        <v>0</v>
      </c>
      <c r="AN7" s="144">
        <v>0</v>
      </c>
      <c r="AO7" s="144">
        <v>0</v>
      </c>
      <c r="AP7" s="144">
        <v>0</v>
      </c>
      <c r="AQ7" s="144">
        <v>0</v>
      </c>
      <c r="AR7" s="144">
        <v>0</v>
      </c>
      <c r="AS7" s="144">
        <v>0</v>
      </c>
      <c r="AT7" s="144">
        <v>0</v>
      </c>
      <c r="AU7" s="144">
        <v>0</v>
      </c>
      <c r="AV7" s="144">
        <v>0</v>
      </c>
      <c r="AW7" s="144">
        <v>0</v>
      </c>
      <c r="AX7" s="143"/>
    </row>
    <row r="8" spans="3:50" x14ac:dyDescent="0.25">
      <c r="R8" s="141">
        <v>284.57911651632901</v>
      </c>
      <c r="S8" s="144">
        <v>0</v>
      </c>
      <c r="T8" s="144">
        <v>0</v>
      </c>
      <c r="U8" s="144">
        <v>0</v>
      </c>
      <c r="V8" s="144">
        <v>0</v>
      </c>
      <c r="W8" s="144">
        <v>0</v>
      </c>
      <c r="X8" s="144">
        <v>0</v>
      </c>
      <c r="Y8" s="144">
        <v>0</v>
      </c>
      <c r="Z8" s="144">
        <v>0</v>
      </c>
      <c r="AA8" s="144">
        <v>0</v>
      </c>
      <c r="AB8" s="144">
        <v>0</v>
      </c>
      <c r="AC8" s="144">
        <v>0</v>
      </c>
      <c r="AD8" s="144">
        <v>0</v>
      </c>
      <c r="AE8" s="144">
        <v>0</v>
      </c>
      <c r="AF8" s="144">
        <v>0</v>
      </c>
      <c r="AG8" s="144">
        <v>0</v>
      </c>
      <c r="AH8" s="144">
        <v>0</v>
      </c>
      <c r="AI8" s="144">
        <v>0</v>
      </c>
      <c r="AJ8" s="144">
        <v>0</v>
      </c>
      <c r="AK8" s="144">
        <v>0</v>
      </c>
      <c r="AL8" s="144">
        <v>0</v>
      </c>
      <c r="AM8" s="144">
        <v>0</v>
      </c>
      <c r="AN8" s="144">
        <v>0</v>
      </c>
      <c r="AO8" s="144">
        <v>0</v>
      </c>
      <c r="AP8" s="144">
        <v>0</v>
      </c>
      <c r="AQ8" s="144">
        <v>0</v>
      </c>
      <c r="AR8" s="144">
        <v>0</v>
      </c>
      <c r="AS8" s="144">
        <v>0</v>
      </c>
      <c r="AT8" s="144">
        <v>0</v>
      </c>
      <c r="AU8" s="144">
        <v>0</v>
      </c>
      <c r="AV8" s="144">
        <v>0</v>
      </c>
      <c r="AW8" s="144">
        <v>0</v>
      </c>
      <c r="AX8" s="143"/>
    </row>
    <row r="9" spans="3:50" x14ac:dyDescent="0.25">
      <c r="R9" s="141">
        <v>341.49493981959489</v>
      </c>
      <c r="S9" s="144">
        <v>0</v>
      </c>
      <c r="T9" s="144">
        <v>0</v>
      </c>
      <c r="U9" s="144">
        <v>0</v>
      </c>
      <c r="V9" s="144">
        <v>0</v>
      </c>
      <c r="W9" s="144">
        <v>0</v>
      </c>
      <c r="X9" s="144">
        <v>0</v>
      </c>
      <c r="Y9" s="144">
        <v>0</v>
      </c>
      <c r="Z9" s="144">
        <v>0</v>
      </c>
      <c r="AA9" s="144">
        <v>0</v>
      </c>
      <c r="AB9" s="144">
        <v>0</v>
      </c>
      <c r="AC9" s="144">
        <v>0</v>
      </c>
      <c r="AD9" s="144">
        <v>0</v>
      </c>
      <c r="AE9" s="144">
        <v>0</v>
      </c>
      <c r="AF9" s="144">
        <v>0</v>
      </c>
      <c r="AG9" s="144">
        <v>0</v>
      </c>
      <c r="AH9" s="144">
        <v>0</v>
      </c>
      <c r="AI9" s="144">
        <v>0</v>
      </c>
      <c r="AJ9" s="144">
        <v>0</v>
      </c>
      <c r="AK9" s="144">
        <v>0</v>
      </c>
      <c r="AL9" s="144">
        <v>0</v>
      </c>
      <c r="AM9" s="144">
        <v>0</v>
      </c>
      <c r="AN9" s="144">
        <v>0</v>
      </c>
      <c r="AO9" s="144">
        <v>0</v>
      </c>
      <c r="AP9" s="144">
        <v>0</v>
      </c>
      <c r="AQ9" s="144">
        <v>0</v>
      </c>
      <c r="AR9" s="144">
        <v>0</v>
      </c>
      <c r="AS9" s="144">
        <v>0</v>
      </c>
      <c r="AT9" s="144">
        <v>0</v>
      </c>
      <c r="AU9" s="144">
        <v>0</v>
      </c>
      <c r="AV9" s="144">
        <v>0</v>
      </c>
      <c r="AW9" s="144">
        <v>0</v>
      </c>
      <c r="AX9" s="143"/>
    </row>
    <row r="10" spans="3:50" x14ac:dyDescent="0.25">
      <c r="R10" s="141">
        <v>398.41076312286066</v>
      </c>
      <c r="S10" s="144">
        <v>0</v>
      </c>
      <c r="T10" s="144">
        <v>0</v>
      </c>
      <c r="U10" s="144">
        <v>0</v>
      </c>
      <c r="V10" s="144">
        <v>0</v>
      </c>
      <c r="W10" s="144">
        <v>0</v>
      </c>
      <c r="X10" s="144">
        <v>0</v>
      </c>
      <c r="Y10" s="144">
        <v>0</v>
      </c>
      <c r="Z10" s="144">
        <v>0</v>
      </c>
      <c r="AA10" s="144">
        <v>0</v>
      </c>
      <c r="AB10" s="144">
        <v>0</v>
      </c>
      <c r="AC10" s="144">
        <v>0</v>
      </c>
      <c r="AD10" s="144">
        <v>0</v>
      </c>
      <c r="AE10" s="144">
        <v>0</v>
      </c>
      <c r="AF10" s="144">
        <v>0</v>
      </c>
      <c r="AG10" s="144">
        <v>0</v>
      </c>
      <c r="AH10" s="144">
        <v>0</v>
      </c>
      <c r="AI10" s="144">
        <v>0</v>
      </c>
      <c r="AJ10" s="144">
        <v>0</v>
      </c>
      <c r="AK10" s="144">
        <v>0</v>
      </c>
      <c r="AL10" s="144">
        <v>0</v>
      </c>
      <c r="AM10" s="144">
        <v>0</v>
      </c>
      <c r="AN10" s="144">
        <v>0</v>
      </c>
      <c r="AO10" s="144">
        <v>0</v>
      </c>
      <c r="AP10" s="144">
        <v>0</v>
      </c>
      <c r="AQ10" s="144">
        <v>0</v>
      </c>
      <c r="AR10" s="144">
        <v>0</v>
      </c>
      <c r="AS10" s="144">
        <v>0</v>
      </c>
      <c r="AT10" s="144">
        <v>0</v>
      </c>
      <c r="AU10" s="144">
        <v>0</v>
      </c>
      <c r="AV10" s="144">
        <v>0</v>
      </c>
      <c r="AW10" s="144">
        <v>0</v>
      </c>
      <c r="AX10" s="143"/>
    </row>
    <row r="11" spans="3:50" x14ac:dyDescent="0.25">
      <c r="R11" s="141">
        <v>455.32658642612643</v>
      </c>
      <c r="S11" s="144">
        <v>0</v>
      </c>
      <c r="T11" s="144">
        <v>0</v>
      </c>
      <c r="U11" s="144">
        <v>0</v>
      </c>
      <c r="V11" s="144">
        <v>0</v>
      </c>
      <c r="W11" s="144">
        <v>0</v>
      </c>
      <c r="X11" s="144">
        <v>0</v>
      </c>
      <c r="Y11" s="144">
        <v>0</v>
      </c>
      <c r="Z11" s="144">
        <v>0</v>
      </c>
      <c r="AA11" s="144">
        <v>0</v>
      </c>
      <c r="AB11" s="144">
        <v>0</v>
      </c>
      <c r="AC11" s="144">
        <v>0</v>
      </c>
      <c r="AD11" s="144">
        <v>0</v>
      </c>
      <c r="AE11" s="144">
        <v>0</v>
      </c>
      <c r="AF11" s="144">
        <v>0</v>
      </c>
      <c r="AG11" s="144">
        <v>0</v>
      </c>
      <c r="AH11" s="144">
        <v>0</v>
      </c>
      <c r="AI11" s="144">
        <v>0</v>
      </c>
      <c r="AJ11" s="144">
        <v>0</v>
      </c>
      <c r="AK11" s="144">
        <v>0</v>
      </c>
      <c r="AL11" s="144">
        <v>0</v>
      </c>
      <c r="AM11" s="144">
        <v>0</v>
      </c>
      <c r="AN11" s="144">
        <v>0</v>
      </c>
      <c r="AO11" s="144">
        <v>0</v>
      </c>
      <c r="AP11" s="144">
        <v>0</v>
      </c>
      <c r="AQ11" s="144">
        <v>0</v>
      </c>
      <c r="AR11" s="144">
        <v>0</v>
      </c>
      <c r="AS11" s="144">
        <v>0</v>
      </c>
      <c r="AT11" s="144">
        <v>0</v>
      </c>
      <c r="AU11" s="144">
        <v>0</v>
      </c>
      <c r="AV11" s="144">
        <v>0</v>
      </c>
      <c r="AW11" s="144">
        <v>0</v>
      </c>
      <c r="AX11" s="143"/>
    </row>
    <row r="12" spans="3:50" x14ac:dyDescent="0.25">
      <c r="R12" s="141">
        <v>512.24240972939231</v>
      </c>
      <c r="S12" s="144">
        <v>0</v>
      </c>
      <c r="T12" s="144">
        <v>0</v>
      </c>
      <c r="U12" s="144">
        <v>0</v>
      </c>
      <c r="V12" s="144">
        <v>0</v>
      </c>
      <c r="W12" s="144">
        <v>0</v>
      </c>
      <c r="X12" s="144">
        <v>0</v>
      </c>
      <c r="Y12" s="144">
        <v>0</v>
      </c>
      <c r="Z12" s="144">
        <v>0</v>
      </c>
      <c r="AA12" s="144">
        <v>0</v>
      </c>
      <c r="AB12" s="144">
        <v>0</v>
      </c>
      <c r="AC12" s="144">
        <v>0</v>
      </c>
      <c r="AD12" s="144">
        <v>0</v>
      </c>
      <c r="AE12" s="144">
        <v>0</v>
      </c>
      <c r="AF12" s="144">
        <v>0</v>
      </c>
      <c r="AG12" s="144">
        <v>0</v>
      </c>
      <c r="AH12" s="144">
        <v>0</v>
      </c>
      <c r="AI12" s="144">
        <v>0</v>
      </c>
      <c r="AJ12" s="144">
        <v>0</v>
      </c>
      <c r="AK12" s="144">
        <v>0</v>
      </c>
      <c r="AL12" s="144">
        <v>0</v>
      </c>
      <c r="AM12" s="144">
        <v>0</v>
      </c>
      <c r="AN12" s="144">
        <v>0</v>
      </c>
      <c r="AO12" s="144">
        <v>0</v>
      </c>
      <c r="AP12" s="144">
        <v>0</v>
      </c>
      <c r="AQ12" s="144">
        <v>0</v>
      </c>
      <c r="AR12" s="144">
        <v>0</v>
      </c>
      <c r="AS12" s="144">
        <v>0</v>
      </c>
      <c r="AT12" s="144">
        <v>0</v>
      </c>
      <c r="AU12" s="144">
        <v>0</v>
      </c>
      <c r="AV12" s="144">
        <v>0</v>
      </c>
      <c r="AW12" s="144">
        <v>0</v>
      </c>
      <c r="AX12" s="143"/>
    </row>
    <row r="13" spans="3:50" x14ac:dyDescent="0.25">
      <c r="R13" s="141">
        <v>569.15823303265802</v>
      </c>
      <c r="S13" s="144">
        <v>0</v>
      </c>
      <c r="T13" s="144">
        <v>0</v>
      </c>
      <c r="U13" s="144">
        <v>0</v>
      </c>
      <c r="V13" s="144">
        <v>0</v>
      </c>
      <c r="W13" s="144">
        <v>0</v>
      </c>
      <c r="X13" s="144">
        <v>0</v>
      </c>
      <c r="Y13" s="144">
        <v>0</v>
      </c>
      <c r="Z13" s="144">
        <v>0</v>
      </c>
      <c r="AA13" s="144">
        <v>0</v>
      </c>
      <c r="AB13" s="144">
        <v>0</v>
      </c>
      <c r="AC13" s="144">
        <v>0</v>
      </c>
      <c r="AD13" s="144">
        <v>0</v>
      </c>
      <c r="AE13" s="144">
        <v>0</v>
      </c>
      <c r="AF13" s="144">
        <v>0</v>
      </c>
      <c r="AG13" s="144">
        <v>0</v>
      </c>
      <c r="AH13" s="144">
        <v>0</v>
      </c>
      <c r="AI13" s="144">
        <v>0</v>
      </c>
      <c r="AJ13" s="144">
        <v>0</v>
      </c>
      <c r="AK13" s="144">
        <v>0</v>
      </c>
      <c r="AL13" s="144">
        <v>0</v>
      </c>
      <c r="AM13" s="144">
        <v>0</v>
      </c>
      <c r="AN13" s="144">
        <v>0</v>
      </c>
      <c r="AO13" s="144">
        <v>0</v>
      </c>
      <c r="AP13" s="144">
        <v>0</v>
      </c>
      <c r="AQ13" s="144">
        <v>0</v>
      </c>
      <c r="AR13" s="144">
        <v>0</v>
      </c>
      <c r="AS13" s="144">
        <v>0</v>
      </c>
      <c r="AT13" s="144">
        <v>0</v>
      </c>
      <c r="AU13" s="144">
        <v>0</v>
      </c>
      <c r="AV13" s="144">
        <v>0</v>
      </c>
      <c r="AW13" s="144">
        <v>0</v>
      </c>
      <c r="AX13" s="143"/>
    </row>
    <row r="14" spans="3:50" x14ac:dyDescent="0.25">
      <c r="R14" s="141">
        <v>626.07405633592384</v>
      </c>
      <c r="S14" s="144">
        <v>0</v>
      </c>
      <c r="T14" s="144">
        <v>0</v>
      </c>
      <c r="U14" s="144">
        <v>0</v>
      </c>
      <c r="V14" s="144">
        <v>0</v>
      </c>
      <c r="W14" s="144">
        <v>0</v>
      </c>
      <c r="X14" s="144">
        <v>0</v>
      </c>
      <c r="Y14" s="144">
        <v>0</v>
      </c>
      <c r="Z14" s="144">
        <v>0</v>
      </c>
      <c r="AA14" s="144">
        <v>0</v>
      </c>
      <c r="AB14" s="144">
        <v>0</v>
      </c>
      <c r="AC14" s="144">
        <v>0</v>
      </c>
      <c r="AD14" s="144">
        <v>0</v>
      </c>
      <c r="AE14" s="144">
        <v>0</v>
      </c>
      <c r="AF14" s="144">
        <v>0</v>
      </c>
      <c r="AG14" s="144">
        <v>0</v>
      </c>
      <c r="AH14" s="144">
        <v>0</v>
      </c>
      <c r="AI14" s="144">
        <v>0</v>
      </c>
      <c r="AJ14" s="144">
        <v>0</v>
      </c>
      <c r="AK14" s="144">
        <v>0</v>
      </c>
      <c r="AL14" s="144">
        <v>0</v>
      </c>
      <c r="AM14" s="144">
        <v>0</v>
      </c>
      <c r="AN14" s="144">
        <v>0</v>
      </c>
      <c r="AO14" s="144">
        <v>0</v>
      </c>
      <c r="AP14" s="144">
        <v>0</v>
      </c>
      <c r="AQ14" s="144">
        <v>0</v>
      </c>
      <c r="AR14" s="144">
        <v>0</v>
      </c>
      <c r="AS14" s="144">
        <v>0</v>
      </c>
      <c r="AT14" s="144">
        <v>0</v>
      </c>
      <c r="AU14" s="144">
        <v>0</v>
      </c>
      <c r="AV14" s="144">
        <v>0</v>
      </c>
      <c r="AW14" s="144">
        <v>0</v>
      </c>
      <c r="AX14" s="143"/>
    </row>
    <row r="15" spans="3:50" x14ac:dyDescent="0.25">
      <c r="R15" s="141">
        <v>682.98987963918978</v>
      </c>
      <c r="S15" s="144">
        <v>0</v>
      </c>
      <c r="T15" s="144">
        <v>0</v>
      </c>
      <c r="U15" s="144">
        <v>0</v>
      </c>
      <c r="V15" s="144">
        <v>0</v>
      </c>
      <c r="W15" s="144">
        <v>0</v>
      </c>
      <c r="X15" s="144">
        <v>0</v>
      </c>
      <c r="Y15" s="144">
        <v>0</v>
      </c>
      <c r="Z15" s="144">
        <v>0</v>
      </c>
      <c r="AA15" s="144">
        <v>0</v>
      </c>
      <c r="AB15" s="144">
        <v>0</v>
      </c>
      <c r="AC15" s="144">
        <v>0</v>
      </c>
      <c r="AD15" s="144">
        <v>0</v>
      </c>
      <c r="AE15" s="144">
        <v>0</v>
      </c>
      <c r="AF15" s="144">
        <v>0</v>
      </c>
      <c r="AG15" s="144">
        <v>0</v>
      </c>
      <c r="AH15" s="144">
        <v>0</v>
      </c>
      <c r="AI15" s="144">
        <v>0</v>
      </c>
      <c r="AJ15" s="144">
        <v>0</v>
      </c>
      <c r="AK15" s="144">
        <v>0</v>
      </c>
      <c r="AL15" s="144">
        <v>0</v>
      </c>
      <c r="AM15" s="144">
        <v>0</v>
      </c>
      <c r="AN15" s="144">
        <v>0</v>
      </c>
      <c r="AO15" s="144">
        <v>0</v>
      </c>
      <c r="AP15" s="144">
        <v>0</v>
      </c>
      <c r="AQ15" s="144">
        <v>0</v>
      </c>
      <c r="AR15" s="144">
        <v>0</v>
      </c>
      <c r="AS15" s="144">
        <v>0</v>
      </c>
      <c r="AT15" s="144">
        <v>0</v>
      </c>
      <c r="AU15" s="144">
        <v>0</v>
      </c>
      <c r="AV15" s="144">
        <v>0</v>
      </c>
      <c r="AW15" s="144">
        <v>0</v>
      </c>
      <c r="AX15" s="143"/>
    </row>
    <row r="16" spans="3:50" x14ac:dyDescent="0.25">
      <c r="R16" s="141">
        <v>739.90570294245549</v>
      </c>
      <c r="S16" s="144">
        <v>0</v>
      </c>
      <c r="T16" s="144">
        <v>0</v>
      </c>
      <c r="U16" s="144">
        <v>0</v>
      </c>
      <c r="V16" s="144">
        <v>0</v>
      </c>
      <c r="W16" s="144">
        <v>0</v>
      </c>
      <c r="X16" s="144">
        <v>0</v>
      </c>
      <c r="Y16" s="144">
        <v>0</v>
      </c>
      <c r="Z16" s="144">
        <v>0</v>
      </c>
      <c r="AA16" s="144">
        <v>0</v>
      </c>
      <c r="AB16" s="144">
        <v>0</v>
      </c>
      <c r="AC16" s="144">
        <v>0</v>
      </c>
      <c r="AD16" s="144">
        <v>0</v>
      </c>
      <c r="AE16" s="144">
        <v>0</v>
      </c>
      <c r="AF16" s="144">
        <v>0</v>
      </c>
      <c r="AG16" s="144">
        <v>0</v>
      </c>
      <c r="AH16" s="144">
        <v>0</v>
      </c>
      <c r="AI16" s="144">
        <v>0</v>
      </c>
      <c r="AJ16" s="144">
        <v>0</v>
      </c>
      <c r="AK16" s="144">
        <v>0</v>
      </c>
      <c r="AL16" s="144">
        <v>0</v>
      </c>
      <c r="AM16" s="144">
        <v>0</v>
      </c>
      <c r="AN16" s="144">
        <v>0</v>
      </c>
      <c r="AO16" s="144">
        <v>0</v>
      </c>
      <c r="AP16" s="144">
        <v>0</v>
      </c>
      <c r="AQ16" s="144">
        <v>0</v>
      </c>
      <c r="AR16" s="144">
        <v>0</v>
      </c>
      <c r="AS16" s="144">
        <v>0</v>
      </c>
      <c r="AT16" s="144">
        <v>0</v>
      </c>
      <c r="AU16" s="144">
        <v>0</v>
      </c>
      <c r="AV16" s="144">
        <v>0</v>
      </c>
      <c r="AW16" s="144">
        <v>0</v>
      </c>
      <c r="AX16" s="143"/>
    </row>
    <row r="17" spans="18:50" x14ac:dyDescent="0.25">
      <c r="R17" s="141">
        <v>796.82152624572132</v>
      </c>
      <c r="S17" s="144">
        <v>0</v>
      </c>
      <c r="T17" s="144">
        <v>0</v>
      </c>
      <c r="U17" s="144">
        <v>0</v>
      </c>
      <c r="V17" s="144">
        <v>0</v>
      </c>
      <c r="W17" s="144">
        <v>0</v>
      </c>
      <c r="X17" s="144">
        <v>0</v>
      </c>
      <c r="Y17" s="144">
        <v>0</v>
      </c>
      <c r="Z17" s="144">
        <v>0</v>
      </c>
      <c r="AA17" s="144">
        <v>0</v>
      </c>
      <c r="AB17" s="144">
        <v>0</v>
      </c>
      <c r="AC17" s="144">
        <v>0</v>
      </c>
      <c r="AD17" s="144">
        <v>0</v>
      </c>
      <c r="AE17" s="144">
        <v>0</v>
      </c>
      <c r="AF17" s="144">
        <v>0</v>
      </c>
      <c r="AG17" s="144">
        <v>0</v>
      </c>
      <c r="AH17" s="144">
        <v>0</v>
      </c>
      <c r="AI17" s="144">
        <v>0</v>
      </c>
      <c r="AJ17" s="144">
        <v>0</v>
      </c>
      <c r="AK17" s="144">
        <v>0</v>
      </c>
      <c r="AL17" s="144">
        <v>0</v>
      </c>
      <c r="AM17" s="144">
        <v>0</v>
      </c>
      <c r="AN17" s="144">
        <v>0</v>
      </c>
      <c r="AO17" s="144">
        <v>0</v>
      </c>
      <c r="AP17" s="144">
        <v>0</v>
      </c>
      <c r="AQ17" s="144">
        <v>0</v>
      </c>
      <c r="AR17" s="144">
        <v>0</v>
      </c>
      <c r="AS17" s="144">
        <v>0</v>
      </c>
      <c r="AT17" s="144">
        <v>0</v>
      </c>
      <c r="AU17" s="144">
        <v>0</v>
      </c>
      <c r="AV17" s="144">
        <v>0</v>
      </c>
      <c r="AW17" s="144">
        <v>0</v>
      </c>
      <c r="AX17" s="143"/>
    </row>
    <row r="18" spans="18:50" x14ac:dyDescent="0.25">
      <c r="R18" s="141">
        <v>853.73734954898703</v>
      </c>
      <c r="S18" s="144">
        <v>0</v>
      </c>
      <c r="T18" s="144">
        <v>0</v>
      </c>
      <c r="U18" s="144">
        <v>0</v>
      </c>
      <c r="V18" s="144">
        <v>0</v>
      </c>
      <c r="W18" s="144">
        <v>0</v>
      </c>
      <c r="X18" s="144">
        <v>0</v>
      </c>
      <c r="Y18" s="144">
        <v>0</v>
      </c>
      <c r="Z18" s="144">
        <v>0</v>
      </c>
      <c r="AA18" s="144">
        <v>0</v>
      </c>
      <c r="AB18" s="144">
        <v>0</v>
      </c>
      <c r="AC18" s="144">
        <v>0</v>
      </c>
      <c r="AD18" s="144">
        <v>0</v>
      </c>
      <c r="AE18" s="144">
        <v>0</v>
      </c>
      <c r="AF18" s="144">
        <v>0</v>
      </c>
      <c r="AG18" s="144">
        <v>0</v>
      </c>
      <c r="AH18" s="144">
        <v>0</v>
      </c>
      <c r="AI18" s="144">
        <v>0</v>
      </c>
      <c r="AJ18" s="144">
        <v>0</v>
      </c>
      <c r="AK18" s="144">
        <v>0</v>
      </c>
      <c r="AL18" s="144">
        <v>0</v>
      </c>
      <c r="AM18" s="144">
        <v>0</v>
      </c>
      <c r="AN18" s="144">
        <v>0</v>
      </c>
      <c r="AO18" s="144">
        <v>0</v>
      </c>
      <c r="AP18" s="144">
        <v>0</v>
      </c>
      <c r="AQ18" s="144">
        <v>0</v>
      </c>
      <c r="AR18" s="144">
        <v>0</v>
      </c>
      <c r="AS18" s="144">
        <v>0</v>
      </c>
      <c r="AT18" s="144">
        <v>0</v>
      </c>
      <c r="AU18" s="144">
        <v>0</v>
      </c>
      <c r="AV18" s="144">
        <v>0</v>
      </c>
      <c r="AW18" s="144">
        <v>0</v>
      </c>
      <c r="AX18" s="143"/>
    </row>
    <row r="19" spans="18:50" x14ac:dyDescent="0.25">
      <c r="R19" s="141">
        <v>910.65317285225285</v>
      </c>
      <c r="S19" s="144">
        <v>0</v>
      </c>
      <c r="T19" s="144">
        <v>0</v>
      </c>
      <c r="U19" s="144">
        <v>0</v>
      </c>
      <c r="V19" s="144">
        <v>0</v>
      </c>
      <c r="W19" s="144">
        <v>0</v>
      </c>
      <c r="X19" s="144">
        <v>0</v>
      </c>
      <c r="Y19" s="144">
        <v>0</v>
      </c>
      <c r="Z19" s="144">
        <v>0</v>
      </c>
      <c r="AA19" s="144">
        <v>0</v>
      </c>
      <c r="AB19" s="144">
        <v>0</v>
      </c>
      <c r="AC19" s="144">
        <v>0</v>
      </c>
      <c r="AD19" s="144">
        <v>0</v>
      </c>
      <c r="AE19" s="144">
        <v>0</v>
      </c>
      <c r="AF19" s="144">
        <v>0</v>
      </c>
      <c r="AG19" s="144">
        <v>0</v>
      </c>
      <c r="AH19" s="144">
        <v>0</v>
      </c>
      <c r="AI19" s="144">
        <v>0</v>
      </c>
      <c r="AJ19" s="144">
        <v>0</v>
      </c>
      <c r="AK19" s="144">
        <v>0</v>
      </c>
      <c r="AL19" s="144">
        <v>0</v>
      </c>
      <c r="AM19" s="144">
        <v>0</v>
      </c>
      <c r="AN19" s="144">
        <v>0</v>
      </c>
      <c r="AO19" s="144">
        <v>0</v>
      </c>
      <c r="AP19" s="144">
        <v>0</v>
      </c>
      <c r="AQ19" s="144">
        <v>0</v>
      </c>
      <c r="AR19" s="144">
        <v>0</v>
      </c>
      <c r="AS19" s="144">
        <v>0</v>
      </c>
      <c r="AT19" s="144">
        <v>0</v>
      </c>
      <c r="AU19" s="144">
        <v>0</v>
      </c>
      <c r="AV19" s="144">
        <v>0</v>
      </c>
      <c r="AW19" s="144">
        <v>0</v>
      </c>
      <c r="AX19" s="143"/>
    </row>
    <row r="20" spans="18:50" x14ac:dyDescent="0.25">
      <c r="R20" s="141">
        <v>967.56899615551868</v>
      </c>
      <c r="S20" s="144">
        <v>0</v>
      </c>
      <c r="T20" s="144">
        <v>0</v>
      </c>
      <c r="U20" s="144">
        <v>0</v>
      </c>
      <c r="V20" s="144">
        <v>0</v>
      </c>
      <c r="W20" s="144">
        <v>0</v>
      </c>
      <c r="X20" s="144">
        <v>0</v>
      </c>
      <c r="Y20" s="144">
        <v>0</v>
      </c>
      <c r="Z20" s="144">
        <v>0</v>
      </c>
      <c r="AA20" s="144">
        <v>0</v>
      </c>
      <c r="AB20" s="144">
        <v>0</v>
      </c>
      <c r="AC20" s="144">
        <v>0</v>
      </c>
      <c r="AD20" s="144">
        <v>0</v>
      </c>
      <c r="AE20" s="144">
        <v>0</v>
      </c>
      <c r="AF20" s="144">
        <v>0</v>
      </c>
      <c r="AG20" s="144">
        <v>0</v>
      </c>
      <c r="AH20" s="144">
        <v>0</v>
      </c>
      <c r="AI20" s="144">
        <v>0</v>
      </c>
      <c r="AJ20" s="144">
        <v>0</v>
      </c>
      <c r="AK20" s="144">
        <v>0</v>
      </c>
      <c r="AL20" s="144">
        <v>0</v>
      </c>
      <c r="AM20" s="144">
        <v>0</v>
      </c>
      <c r="AN20" s="144">
        <v>0</v>
      </c>
      <c r="AO20" s="144">
        <v>0</v>
      </c>
      <c r="AP20" s="144">
        <v>0</v>
      </c>
      <c r="AQ20" s="144">
        <v>0</v>
      </c>
      <c r="AR20" s="144">
        <v>0</v>
      </c>
      <c r="AS20" s="144">
        <v>0</v>
      </c>
      <c r="AT20" s="144">
        <v>0</v>
      </c>
      <c r="AU20" s="144">
        <v>0</v>
      </c>
      <c r="AV20" s="144">
        <v>0</v>
      </c>
      <c r="AW20" s="144">
        <v>0</v>
      </c>
      <c r="AX20" s="143"/>
    </row>
    <row r="21" spans="18:50" x14ac:dyDescent="0.25">
      <c r="R21" s="141">
        <v>1024.4848194587846</v>
      </c>
      <c r="S21" s="144">
        <v>0</v>
      </c>
      <c r="T21" s="144">
        <v>0</v>
      </c>
      <c r="U21" s="144">
        <v>0</v>
      </c>
      <c r="V21" s="144">
        <v>0</v>
      </c>
      <c r="W21" s="144">
        <v>0</v>
      </c>
      <c r="X21" s="144">
        <v>0</v>
      </c>
      <c r="Y21" s="144">
        <v>0</v>
      </c>
      <c r="Z21" s="144">
        <v>0</v>
      </c>
      <c r="AA21" s="144">
        <v>0</v>
      </c>
      <c r="AB21" s="144">
        <v>0</v>
      </c>
      <c r="AC21" s="144">
        <v>0</v>
      </c>
      <c r="AD21" s="144">
        <v>0</v>
      </c>
      <c r="AE21" s="144">
        <v>0</v>
      </c>
      <c r="AF21" s="144">
        <v>0</v>
      </c>
      <c r="AG21" s="144">
        <v>0</v>
      </c>
      <c r="AH21" s="144">
        <v>0</v>
      </c>
      <c r="AI21" s="144">
        <v>0</v>
      </c>
      <c r="AJ21" s="144">
        <v>0</v>
      </c>
      <c r="AK21" s="144">
        <v>0</v>
      </c>
      <c r="AL21" s="144">
        <v>0</v>
      </c>
      <c r="AM21" s="144">
        <v>0</v>
      </c>
      <c r="AN21" s="144">
        <v>0</v>
      </c>
      <c r="AO21" s="144">
        <v>0</v>
      </c>
      <c r="AP21" s="144">
        <v>0</v>
      </c>
      <c r="AQ21" s="144">
        <v>0</v>
      </c>
      <c r="AR21" s="144">
        <v>0</v>
      </c>
      <c r="AS21" s="144">
        <v>0</v>
      </c>
      <c r="AT21" s="144">
        <v>0</v>
      </c>
      <c r="AU21" s="144">
        <v>0</v>
      </c>
      <c r="AV21" s="144">
        <v>0</v>
      </c>
      <c r="AW21" s="144">
        <v>0</v>
      </c>
      <c r="AX21" s="143"/>
    </row>
    <row r="22" spans="18:50" x14ac:dyDescent="0.25">
      <c r="R22" s="141">
        <v>1081.4006427620504</v>
      </c>
      <c r="S22" s="144">
        <v>0</v>
      </c>
      <c r="T22" s="144">
        <v>0</v>
      </c>
      <c r="U22" s="144">
        <v>0</v>
      </c>
      <c r="V22" s="144">
        <v>0</v>
      </c>
      <c r="W22" s="144">
        <v>0</v>
      </c>
      <c r="X22" s="144">
        <v>0</v>
      </c>
      <c r="Y22" s="144">
        <v>0</v>
      </c>
      <c r="Z22" s="144">
        <v>0</v>
      </c>
      <c r="AA22" s="144">
        <v>0</v>
      </c>
      <c r="AB22" s="144">
        <v>0</v>
      </c>
      <c r="AC22" s="144">
        <v>0</v>
      </c>
      <c r="AD22" s="144">
        <v>0</v>
      </c>
      <c r="AE22" s="144">
        <v>0</v>
      </c>
      <c r="AF22" s="144">
        <v>0</v>
      </c>
      <c r="AG22" s="144">
        <v>0</v>
      </c>
      <c r="AH22" s="144">
        <v>0</v>
      </c>
      <c r="AI22" s="144">
        <v>0</v>
      </c>
      <c r="AJ22" s="144">
        <v>0</v>
      </c>
      <c r="AK22" s="144">
        <v>0</v>
      </c>
      <c r="AL22" s="144">
        <v>0</v>
      </c>
      <c r="AM22" s="144">
        <v>0</v>
      </c>
      <c r="AN22" s="144">
        <v>0</v>
      </c>
      <c r="AO22" s="144">
        <v>0</v>
      </c>
      <c r="AP22" s="144">
        <v>0</v>
      </c>
      <c r="AQ22" s="144">
        <v>0</v>
      </c>
      <c r="AR22" s="144">
        <v>0</v>
      </c>
      <c r="AS22" s="144">
        <v>0</v>
      </c>
      <c r="AT22" s="144">
        <v>0</v>
      </c>
      <c r="AU22" s="144">
        <v>0</v>
      </c>
      <c r="AV22" s="144">
        <v>0</v>
      </c>
      <c r="AW22" s="144">
        <v>0</v>
      </c>
      <c r="AX22" s="143"/>
    </row>
    <row r="23" spans="18:50" x14ac:dyDescent="0.25">
      <c r="R23" s="141">
        <v>1138.316466065316</v>
      </c>
      <c r="S23" s="144">
        <v>0</v>
      </c>
      <c r="T23" s="144">
        <v>0</v>
      </c>
      <c r="U23" s="144">
        <v>0</v>
      </c>
      <c r="V23" s="144">
        <v>0</v>
      </c>
      <c r="W23" s="144">
        <v>0</v>
      </c>
      <c r="X23" s="144">
        <v>0</v>
      </c>
      <c r="Y23" s="144">
        <v>0</v>
      </c>
      <c r="Z23" s="144">
        <v>0</v>
      </c>
      <c r="AA23" s="144">
        <v>0</v>
      </c>
      <c r="AB23" s="144">
        <v>0</v>
      </c>
      <c r="AC23" s="144">
        <v>0</v>
      </c>
      <c r="AD23" s="144">
        <v>0</v>
      </c>
      <c r="AE23" s="144">
        <v>0</v>
      </c>
      <c r="AF23" s="144">
        <v>0</v>
      </c>
      <c r="AG23" s="144">
        <v>0</v>
      </c>
      <c r="AH23" s="144">
        <v>0</v>
      </c>
      <c r="AI23" s="144">
        <v>0</v>
      </c>
      <c r="AJ23" s="144">
        <v>0</v>
      </c>
      <c r="AK23" s="144">
        <v>0</v>
      </c>
      <c r="AL23" s="144">
        <v>0</v>
      </c>
      <c r="AM23" s="144">
        <v>0</v>
      </c>
      <c r="AN23" s="144">
        <v>0</v>
      </c>
      <c r="AO23" s="144">
        <v>0</v>
      </c>
      <c r="AP23" s="144">
        <v>0</v>
      </c>
      <c r="AQ23" s="144">
        <v>0</v>
      </c>
      <c r="AR23" s="144">
        <v>0</v>
      </c>
      <c r="AS23" s="144">
        <v>0</v>
      </c>
      <c r="AT23" s="144">
        <v>0</v>
      </c>
      <c r="AU23" s="144">
        <v>0</v>
      </c>
      <c r="AV23" s="144">
        <v>0</v>
      </c>
      <c r="AW23" s="144">
        <v>0</v>
      </c>
      <c r="AX23" s="143"/>
    </row>
    <row r="24" spans="18:50" x14ac:dyDescent="0.25">
      <c r="R24" s="141">
        <v>1195.2322893685819</v>
      </c>
      <c r="S24" s="144">
        <v>0</v>
      </c>
      <c r="T24" s="144">
        <v>0</v>
      </c>
      <c r="U24" s="144">
        <v>0</v>
      </c>
      <c r="V24" s="144">
        <v>0</v>
      </c>
      <c r="W24" s="144">
        <v>0</v>
      </c>
      <c r="X24" s="144">
        <v>0</v>
      </c>
      <c r="Y24" s="144">
        <v>0</v>
      </c>
      <c r="Z24" s="144">
        <v>0</v>
      </c>
      <c r="AA24" s="144">
        <v>0</v>
      </c>
      <c r="AB24" s="144">
        <v>0</v>
      </c>
      <c r="AC24" s="144">
        <v>0</v>
      </c>
      <c r="AD24" s="144">
        <v>0</v>
      </c>
      <c r="AE24" s="144">
        <v>0</v>
      </c>
      <c r="AF24" s="144">
        <v>0</v>
      </c>
      <c r="AG24" s="144">
        <v>0</v>
      </c>
      <c r="AH24" s="144">
        <v>0</v>
      </c>
      <c r="AI24" s="144">
        <v>0</v>
      </c>
      <c r="AJ24" s="144">
        <v>0</v>
      </c>
      <c r="AK24" s="144">
        <v>0</v>
      </c>
      <c r="AL24" s="144">
        <v>0</v>
      </c>
      <c r="AM24" s="144">
        <v>0</v>
      </c>
      <c r="AN24" s="144">
        <v>0</v>
      </c>
      <c r="AO24" s="144">
        <v>0</v>
      </c>
      <c r="AP24" s="144">
        <v>0</v>
      </c>
      <c r="AQ24" s="144">
        <v>0</v>
      </c>
      <c r="AR24" s="144">
        <v>0</v>
      </c>
      <c r="AS24" s="144">
        <v>0</v>
      </c>
      <c r="AT24" s="144">
        <v>0</v>
      </c>
      <c r="AU24" s="144">
        <v>0</v>
      </c>
      <c r="AV24" s="144">
        <v>0</v>
      </c>
      <c r="AW24" s="144">
        <v>0</v>
      </c>
      <c r="AX24" s="143"/>
    </row>
    <row r="25" spans="18:50" x14ac:dyDescent="0.25">
      <c r="R25" s="141">
        <v>1252.1481126718477</v>
      </c>
      <c r="S25" s="144">
        <v>0</v>
      </c>
      <c r="T25" s="144">
        <v>0</v>
      </c>
      <c r="U25" s="144">
        <v>0</v>
      </c>
      <c r="V25" s="144">
        <v>0</v>
      </c>
      <c r="W25" s="144">
        <v>0</v>
      </c>
      <c r="X25" s="144">
        <v>0</v>
      </c>
      <c r="Y25" s="144">
        <v>0</v>
      </c>
      <c r="Z25" s="144">
        <v>0</v>
      </c>
      <c r="AA25" s="144">
        <v>0</v>
      </c>
      <c r="AB25" s="144">
        <v>0</v>
      </c>
      <c r="AC25" s="144">
        <v>0</v>
      </c>
      <c r="AD25" s="144">
        <v>0</v>
      </c>
      <c r="AE25" s="144">
        <v>0</v>
      </c>
      <c r="AF25" s="144">
        <v>0</v>
      </c>
      <c r="AG25" s="144">
        <v>0</v>
      </c>
      <c r="AH25" s="144">
        <v>0</v>
      </c>
      <c r="AI25" s="144">
        <v>0</v>
      </c>
      <c r="AJ25" s="144">
        <v>0</v>
      </c>
      <c r="AK25" s="144">
        <v>0</v>
      </c>
      <c r="AL25" s="144">
        <v>0</v>
      </c>
      <c r="AM25" s="144">
        <v>0</v>
      </c>
      <c r="AN25" s="144">
        <v>0</v>
      </c>
      <c r="AO25" s="144">
        <v>0</v>
      </c>
      <c r="AP25" s="144">
        <v>0</v>
      </c>
      <c r="AQ25" s="144">
        <v>0</v>
      </c>
      <c r="AR25" s="144">
        <v>0</v>
      </c>
      <c r="AS25" s="144">
        <v>0</v>
      </c>
      <c r="AT25" s="144">
        <v>0</v>
      </c>
      <c r="AU25" s="144">
        <v>0</v>
      </c>
      <c r="AV25" s="144">
        <v>0</v>
      </c>
      <c r="AW25" s="144">
        <v>0</v>
      </c>
      <c r="AX25" s="143"/>
    </row>
    <row r="26" spans="18:50" x14ac:dyDescent="0.25">
      <c r="R26" s="141">
        <v>1309.0639359751137</v>
      </c>
      <c r="S26" s="144">
        <v>0</v>
      </c>
      <c r="T26" s="144">
        <v>0</v>
      </c>
      <c r="U26" s="144">
        <v>0</v>
      </c>
      <c r="V26" s="144">
        <v>0</v>
      </c>
      <c r="W26" s="144">
        <v>0</v>
      </c>
      <c r="X26" s="144">
        <v>0</v>
      </c>
      <c r="Y26" s="144">
        <v>0</v>
      </c>
      <c r="Z26" s="144">
        <v>0</v>
      </c>
      <c r="AA26" s="144">
        <v>0</v>
      </c>
      <c r="AB26" s="144">
        <v>0</v>
      </c>
      <c r="AC26" s="144">
        <v>0</v>
      </c>
      <c r="AD26" s="144">
        <v>0</v>
      </c>
      <c r="AE26" s="144">
        <v>0</v>
      </c>
      <c r="AF26" s="144">
        <v>0</v>
      </c>
      <c r="AG26" s="144">
        <v>0</v>
      </c>
      <c r="AH26" s="144">
        <v>0</v>
      </c>
      <c r="AI26" s="144">
        <v>0</v>
      </c>
      <c r="AJ26" s="144">
        <v>0</v>
      </c>
      <c r="AK26" s="144">
        <v>0</v>
      </c>
      <c r="AL26" s="144">
        <v>0</v>
      </c>
      <c r="AM26" s="144">
        <v>0</v>
      </c>
      <c r="AN26" s="144">
        <v>0</v>
      </c>
      <c r="AO26" s="144">
        <v>0</v>
      </c>
      <c r="AP26" s="144">
        <v>0</v>
      </c>
      <c r="AQ26" s="144">
        <v>0</v>
      </c>
      <c r="AR26" s="144">
        <v>0</v>
      </c>
      <c r="AS26" s="144">
        <v>0</v>
      </c>
      <c r="AT26" s="144">
        <v>0</v>
      </c>
      <c r="AU26" s="144">
        <v>0</v>
      </c>
      <c r="AV26" s="144">
        <v>0</v>
      </c>
      <c r="AW26" s="144">
        <v>0</v>
      </c>
      <c r="AX26" s="143"/>
    </row>
    <row r="27" spans="18:50" x14ac:dyDescent="0.25">
      <c r="R27" s="141">
        <v>1365.9797592783796</v>
      </c>
      <c r="S27" s="144">
        <v>0</v>
      </c>
      <c r="T27" s="144">
        <v>0</v>
      </c>
      <c r="U27" s="144">
        <v>0</v>
      </c>
      <c r="V27" s="144">
        <v>0</v>
      </c>
      <c r="W27" s="144">
        <v>0</v>
      </c>
      <c r="X27" s="144">
        <v>0</v>
      </c>
      <c r="Y27" s="144">
        <v>0</v>
      </c>
      <c r="Z27" s="144">
        <v>0</v>
      </c>
      <c r="AA27" s="144">
        <v>0</v>
      </c>
      <c r="AB27" s="144">
        <v>0</v>
      </c>
      <c r="AC27" s="144">
        <v>0</v>
      </c>
      <c r="AD27" s="144">
        <v>0</v>
      </c>
      <c r="AE27" s="144">
        <v>0</v>
      </c>
      <c r="AF27" s="144">
        <v>0</v>
      </c>
      <c r="AG27" s="144">
        <v>0</v>
      </c>
      <c r="AH27" s="144">
        <v>0</v>
      </c>
      <c r="AI27" s="144">
        <v>0</v>
      </c>
      <c r="AJ27" s="144">
        <v>0</v>
      </c>
      <c r="AK27" s="144">
        <v>0</v>
      </c>
      <c r="AL27" s="144">
        <v>0</v>
      </c>
      <c r="AM27" s="144">
        <v>0</v>
      </c>
      <c r="AN27" s="144">
        <v>0</v>
      </c>
      <c r="AO27" s="144">
        <v>0</v>
      </c>
      <c r="AP27" s="144">
        <v>0</v>
      </c>
      <c r="AQ27" s="144">
        <v>0</v>
      </c>
      <c r="AR27" s="144">
        <v>0</v>
      </c>
      <c r="AS27" s="144">
        <v>0</v>
      </c>
      <c r="AT27" s="144">
        <v>0</v>
      </c>
      <c r="AU27" s="144">
        <v>0</v>
      </c>
      <c r="AV27" s="144">
        <v>0</v>
      </c>
      <c r="AW27" s="144">
        <v>0</v>
      </c>
      <c r="AX27" s="143"/>
    </row>
    <row r="28" spans="18:50" x14ac:dyDescent="0.25">
      <c r="R28" s="141">
        <v>1422.8955825816452</v>
      </c>
      <c r="S28" s="144">
        <v>0</v>
      </c>
      <c r="T28" s="144">
        <v>0</v>
      </c>
      <c r="U28" s="144">
        <v>0</v>
      </c>
      <c r="V28" s="144">
        <v>0</v>
      </c>
      <c r="W28" s="144">
        <v>0</v>
      </c>
      <c r="X28" s="144">
        <v>0</v>
      </c>
      <c r="Y28" s="144">
        <v>0</v>
      </c>
      <c r="Z28" s="144">
        <v>0</v>
      </c>
      <c r="AA28" s="144">
        <v>0</v>
      </c>
      <c r="AB28" s="144">
        <v>0</v>
      </c>
      <c r="AC28" s="144">
        <v>0</v>
      </c>
      <c r="AD28" s="144">
        <v>0</v>
      </c>
      <c r="AE28" s="144">
        <v>0</v>
      </c>
      <c r="AF28" s="144">
        <v>0</v>
      </c>
      <c r="AG28" s="144">
        <v>0</v>
      </c>
      <c r="AH28" s="144">
        <v>0</v>
      </c>
      <c r="AI28" s="144">
        <v>0</v>
      </c>
      <c r="AJ28" s="144">
        <v>0</v>
      </c>
      <c r="AK28" s="144">
        <v>0</v>
      </c>
      <c r="AL28" s="144">
        <v>0</v>
      </c>
      <c r="AM28" s="144">
        <v>0</v>
      </c>
      <c r="AN28" s="144">
        <v>0</v>
      </c>
      <c r="AO28" s="144">
        <v>0</v>
      </c>
      <c r="AP28" s="144">
        <v>0</v>
      </c>
      <c r="AQ28" s="144">
        <v>0</v>
      </c>
      <c r="AR28" s="144">
        <v>0</v>
      </c>
      <c r="AS28" s="144">
        <v>0</v>
      </c>
      <c r="AT28" s="144">
        <v>0</v>
      </c>
      <c r="AU28" s="144">
        <v>0</v>
      </c>
      <c r="AV28" s="144">
        <v>0</v>
      </c>
      <c r="AW28" s="144">
        <v>0</v>
      </c>
      <c r="AX28" s="143"/>
    </row>
    <row r="29" spans="18:50" x14ac:dyDescent="0.25">
      <c r="R29" s="141">
        <v>1479.811405884911</v>
      </c>
      <c r="S29" s="144">
        <v>0</v>
      </c>
      <c r="T29" s="144">
        <v>0</v>
      </c>
      <c r="U29" s="144">
        <v>0</v>
      </c>
      <c r="V29" s="144">
        <v>0</v>
      </c>
      <c r="W29" s="144">
        <v>0</v>
      </c>
      <c r="X29" s="144">
        <v>0</v>
      </c>
      <c r="Y29" s="144">
        <v>0</v>
      </c>
      <c r="Z29" s="144">
        <v>0</v>
      </c>
      <c r="AA29" s="144">
        <v>0</v>
      </c>
      <c r="AB29" s="144">
        <v>0</v>
      </c>
      <c r="AC29" s="144">
        <v>0</v>
      </c>
      <c r="AD29" s="144">
        <v>0</v>
      </c>
      <c r="AE29" s="144">
        <v>0</v>
      </c>
      <c r="AF29" s="144">
        <v>0</v>
      </c>
      <c r="AG29" s="144">
        <v>0</v>
      </c>
      <c r="AH29" s="144">
        <v>0</v>
      </c>
      <c r="AI29" s="144">
        <v>0</v>
      </c>
      <c r="AJ29" s="144">
        <v>0</v>
      </c>
      <c r="AK29" s="144">
        <v>0</v>
      </c>
      <c r="AL29" s="144">
        <v>0</v>
      </c>
      <c r="AM29" s="144">
        <v>0</v>
      </c>
      <c r="AN29" s="144">
        <v>0</v>
      </c>
      <c r="AO29" s="144">
        <v>0</v>
      </c>
      <c r="AP29" s="144">
        <v>0</v>
      </c>
      <c r="AQ29" s="144">
        <v>0</v>
      </c>
      <c r="AR29" s="144">
        <v>0</v>
      </c>
      <c r="AS29" s="144">
        <v>0</v>
      </c>
      <c r="AT29" s="144">
        <v>0</v>
      </c>
      <c r="AU29" s="144">
        <v>0</v>
      </c>
      <c r="AV29" s="144">
        <v>0</v>
      </c>
      <c r="AW29" s="144">
        <v>0</v>
      </c>
      <c r="AX29" s="143"/>
    </row>
    <row r="30" spans="18:50" x14ac:dyDescent="0.25">
      <c r="R30" s="141">
        <v>1536.7272291881768</v>
      </c>
      <c r="S30" s="144">
        <v>0</v>
      </c>
      <c r="T30" s="144">
        <v>0</v>
      </c>
      <c r="U30" s="144">
        <v>0</v>
      </c>
      <c r="V30" s="144">
        <v>0</v>
      </c>
      <c r="W30" s="144">
        <v>0</v>
      </c>
      <c r="X30" s="144">
        <v>0</v>
      </c>
      <c r="Y30" s="144">
        <v>0</v>
      </c>
      <c r="Z30" s="144">
        <v>0</v>
      </c>
      <c r="AA30" s="144">
        <v>0</v>
      </c>
      <c r="AB30" s="144">
        <v>0</v>
      </c>
      <c r="AC30" s="144">
        <v>0</v>
      </c>
      <c r="AD30" s="144">
        <v>0</v>
      </c>
      <c r="AE30" s="144">
        <v>0</v>
      </c>
      <c r="AF30" s="144">
        <v>0</v>
      </c>
      <c r="AG30" s="144">
        <v>0</v>
      </c>
      <c r="AH30" s="144">
        <v>0</v>
      </c>
      <c r="AI30" s="144">
        <v>0</v>
      </c>
      <c r="AJ30" s="144">
        <v>0</v>
      </c>
      <c r="AK30" s="144">
        <v>0</v>
      </c>
      <c r="AL30" s="144">
        <v>0</v>
      </c>
      <c r="AM30" s="144">
        <v>0</v>
      </c>
      <c r="AN30" s="144">
        <v>0</v>
      </c>
      <c r="AO30" s="144">
        <v>0</v>
      </c>
      <c r="AP30" s="144">
        <v>0</v>
      </c>
      <c r="AQ30" s="144">
        <v>0</v>
      </c>
      <c r="AR30" s="144">
        <v>0</v>
      </c>
      <c r="AS30" s="144">
        <v>0</v>
      </c>
      <c r="AT30" s="144">
        <v>0</v>
      </c>
      <c r="AU30" s="144">
        <v>0</v>
      </c>
      <c r="AV30" s="144">
        <v>0</v>
      </c>
      <c r="AW30" s="144">
        <v>0</v>
      </c>
      <c r="AX30" s="143"/>
    </row>
    <row r="31" spans="18:50" x14ac:dyDescent="0.25">
      <c r="R31" s="141">
        <v>1593.6430524914426</v>
      </c>
      <c r="S31" s="144">
        <v>0</v>
      </c>
      <c r="T31" s="144">
        <v>0</v>
      </c>
      <c r="U31" s="144">
        <v>0</v>
      </c>
      <c r="V31" s="144">
        <v>0</v>
      </c>
      <c r="W31" s="144">
        <v>0</v>
      </c>
      <c r="X31" s="144">
        <v>0</v>
      </c>
      <c r="Y31" s="144">
        <v>0</v>
      </c>
      <c r="Z31" s="144">
        <v>0</v>
      </c>
      <c r="AA31" s="144">
        <v>0</v>
      </c>
      <c r="AB31" s="144">
        <v>0</v>
      </c>
      <c r="AC31" s="144">
        <v>0</v>
      </c>
      <c r="AD31" s="144">
        <v>0</v>
      </c>
      <c r="AE31" s="144">
        <v>0</v>
      </c>
      <c r="AF31" s="144">
        <v>0</v>
      </c>
      <c r="AG31" s="144">
        <v>0</v>
      </c>
      <c r="AH31" s="144">
        <v>0</v>
      </c>
      <c r="AI31" s="144">
        <v>0</v>
      </c>
      <c r="AJ31" s="144">
        <v>0</v>
      </c>
      <c r="AK31" s="144">
        <v>0</v>
      </c>
      <c r="AL31" s="144">
        <v>0</v>
      </c>
      <c r="AM31" s="144">
        <v>0</v>
      </c>
      <c r="AN31" s="144">
        <v>0</v>
      </c>
      <c r="AO31" s="144">
        <v>0</v>
      </c>
      <c r="AP31" s="144">
        <v>0</v>
      </c>
      <c r="AQ31" s="144">
        <v>0</v>
      </c>
      <c r="AR31" s="144">
        <v>0</v>
      </c>
      <c r="AS31" s="144">
        <v>0</v>
      </c>
      <c r="AT31" s="144">
        <v>0</v>
      </c>
      <c r="AU31" s="144">
        <v>0</v>
      </c>
      <c r="AV31" s="144">
        <v>0</v>
      </c>
      <c r="AW31" s="144">
        <v>0</v>
      </c>
      <c r="AX31" s="143"/>
    </row>
    <row r="32" spans="18:50" x14ac:dyDescent="0.25">
      <c r="R32" s="141">
        <v>1650.5588757947085</v>
      </c>
      <c r="S32" s="144">
        <v>0</v>
      </c>
      <c r="T32" s="144">
        <v>0</v>
      </c>
      <c r="U32" s="144">
        <v>0</v>
      </c>
      <c r="V32" s="144">
        <v>0</v>
      </c>
      <c r="W32" s="144">
        <v>0</v>
      </c>
      <c r="X32" s="144">
        <v>0</v>
      </c>
      <c r="Y32" s="144">
        <v>0</v>
      </c>
      <c r="Z32" s="144">
        <v>0</v>
      </c>
      <c r="AA32" s="144">
        <v>0</v>
      </c>
      <c r="AB32" s="144">
        <v>0</v>
      </c>
      <c r="AC32" s="144">
        <v>0</v>
      </c>
      <c r="AD32" s="144">
        <v>0</v>
      </c>
      <c r="AE32" s="144">
        <v>0</v>
      </c>
      <c r="AF32" s="144">
        <v>0</v>
      </c>
      <c r="AG32" s="144">
        <v>0</v>
      </c>
      <c r="AH32" s="144">
        <v>0</v>
      </c>
      <c r="AI32" s="144">
        <v>0</v>
      </c>
      <c r="AJ32" s="144">
        <v>0</v>
      </c>
      <c r="AK32" s="144">
        <v>0</v>
      </c>
      <c r="AL32" s="144">
        <v>0</v>
      </c>
      <c r="AM32" s="144">
        <v>0</v>
      </c>
      <c r="AN32" s="144">
        <v>0</v>
      </c>
      <c r="AO32" s="144">
        <v>0</v>
      </c>
      <c r="AP32" s="144">
        <v>0</v>
      </c>
      <c r="AQ32" s="144">
        <v>0</v>
      </c>
      <c r="AR32" s="144">
        <v>0</v>
      </c>
      <c r="AS32" s="144">
        <v>0</v>
      </c>
      <c r="AT32" s="144">
        <v>0</v>
      </c>
      <c r="AU32" s="144">
        <v>0</v>
      </c>
      <c r="AV32" s="144">
        <v>0</v>
      </c>
      <c r="AW32" s="144">
        <v>0</v>
      </c>
      <c r="AX32" s="143"/>
    </row>
    <row r="33" spans="2:50" ht="15.6" x14ac:dyDescent="0.3">
      <c r="B33" s="145" t="s">
        <v>283</v>
      </c>
      <c r="C33" s="145"/>
      <c r="D33" s="145"/>
      <c r="E33" s="145"/>
      <c r="F33" s="145"/>
      <c r="G33" s="145"/>
      <c r="H33" s="145"/>
      <c r="R33" s="141">
        <v>1707.4746990979741</v>
      </c>
      <c r="S33" s="144">
        <v>0</v>
      </c>
      <c r="T33" s="144">
        <v>0</v>
      </c>
      <c r="U33" s="144">
        <v>0</v>
      </c>
      <c r="V33" s="144">
        <v>0</v>
      </c>
      <c r="W33" s="144">
        <v>0</v>
      </c>
      <c r="X33" s="144">
        <v>0</v>
      </c>
      <c r="Y33" s="144">
        <v>0</v>
      </c>
      <c r="Z33" s="144">
        <v>0</v>
      </c>
      <c r="AA33" s="144">
        <v>0</v>
      </c>
      <c r="AB33" s="144">
        <v>0</v>
      </c>
      <c r="AC33" s="144">
        <v>0</v>
      </c>
      <c r="AD33" s="144">
        <v>0</v>
      </c>
      <c r="AE33" s="144">
        <v>0</v>
      </c>
      <c r="AF33" s="144">
        <v>0</v>
      </c>
      <c r="AG33" s="144">
        <v>0</v>
      </c>
      <c r="AH33" s="144">
        <v>0</v>
      </c>
      <c r="AI33" s="144">
        <v>0</v>
      </c>
      <c r="AJ33" s="144">
        <v>0</v>
      </c>
      <c r="AK33" s="144">
        <v>0</v>
      </c>
      <c r="AL33" s="144">
        <v>0</v>
      </c>
      <c r="AM33" s="144">
        <v>0</v>
      </c>
      <c r="AN33" s="144">
        <v>0</v>
      </c>
      <c r="AO33" s="144">
        <v>0</v>
      </c>
      <c r="AP33" s="144">
        <v>0</v>
      </c>
      <c r="AQ33" s="144">
        <v>0</v>
      </c>
      <c r="AR33" s="144">
        <v>0</v>
      </c>
      <c r="AS33" s="144">
        <v>0</v>
      </c>
      <c r="AT33" s="144">
        <v>0</v>
      </c>
      <c r="AU33" s="144">
        <v>0</v>
      </c>
      <c r="AV33" s="144">
        <v>0</v>
      </c>
      <c r="AW33" s="144">
        <v>0</v>
      </c>
      <c r="AX33" s="143"/>
    </row>
    <row r="34" spans="2:50" x14ac:dyDescent="0.25">
      <c r="R34" s="141">
        <v>1764.3905224012399</v>
      </c>
      <c r="S34" s="144">
        <v>0</v>
      </c>
      <c r="T34" s="144">
        <v>0</v>
      </c>
      <c r="U34" s="144">
        <v>0</v>
      </c>
      <c r="V34" s="144">
        <v>0</v>
      </c>
      <c r="W34" s="144">
        <v>0</v>
      </c>
      <c r="X34" s="144">
        <v>0</v>
      </c>
      <c r="Y34" s="144">
        <v>0</v>
      </c>
      <c r="Z34" s="144">
        <v>0</v>
      </c>
      <c r="AA34" s="144">
        <v>0</v>
      </c>
      <c r="AB34" s="144">
        <v>0</v>
      </c>
      <c r="AC34" s="144">
        <v>0</v>
      </c>
      <c r="AD34" s="144">
        <v>0</v>
      </c>
      <c r="AE34" s="144">
        <v>0</v>
      </c>
      <c r="AF34" s="144">
        <v>0</v>
      </c>
      <c r="AG34" s="144">
        <v>0</v>
      </c>
      <c r="AH34" s="144">
        <v>0</v>
      </c>
      <c r="AI34" s="144">
        <v>0</v>
      </c>
      <c r="AJ34" s="144">
        <v>0</v>
      </c>
      <c r="AK34" s="144">
        <v>0</v>
      </c>
      <c r="AL34" s="144">
        <v>0</v>
      </c>
      <c r="AM34" s="144">
        <v>0</v>
      </c>
      <c r="AN34" s="144">
        <v>0</v>
      </c>
      <c r="AO34" s="144">
        <v>0</v>
      </c>
      <c r="AP34" s="144">
        <v>0</v>
      </c>
      <c r="AQ34" s="144">
        <v>0</v>
      </c>
      <c r="AR34" s="144">
        <v>0</v>
      </c>
      <c r="AS34" s="144">
        <v>0</v>
      </c>
      <c r="AT34" s="144">
        <v>0</v>
      </c>
      <c r="AU34" s="144">
        <v>0</v>
      </c>
      <c r="AV34" s="144">
        <v>0</v>
      </c>
      <c r="AW34" s="144">
        <v>0</v>
      </c>
      <c r="AX34" s="143"/>
    </row>
    <row r="35" spans="2:50" x14ac:dyDescent="0.25">
      <c r="R35" s="141">
        <v>1821.3063457045057</v>
      </c>
      <c r="S35" s="144">
        <v>0</v>
      </c>
      <c r="T35" s="144">
        <v>0</v>
      </c>
      <c r="U35" s="144">
        <v>0</v>
      </c>
      <c r="V35" s="144">
        <v>0</v>
      </c>
      <c r="W35" s="144">
        <v>0</v>
      </c>
      <c r="X35" s="144">
        <v>0</v>
      </c>
      <c r="Y35" s="144">
        <v>0</v>
      </c>
      <c r="Z35" s="144">
        <v>0</v>
      </c>
      <c r="AA35" s="144">
        <v>0</v>
      </c>
      <c r="AB35" s="144">
        <v>0</v>
      </c>
      <c r="AC35" s="144">
        <v>0</v>
      </c>
      <c r="AD35" s="144">
        <v>0</v>
      </c>
      <c r="AE35" s="144">
        <v>0</v>
      </c>
      <c r="AF35" s="144">
        <v>0</v>
      </c>
      <c r="AG35" s="144">
        <v>0</v>
      </c>
      <c r="AH35" s="144">
        <v>0</v>
      </c>
      <c r="AI35" s="144">
        <v>0</v>
      </c>
      <c r="AJ35" s="144">
        <v>0</v>
      </c>
      <c r="AK35" s="144">
        <v>0</v>
      </c>
      <c r="AL35" s="144">
        <v>0</v>
      </c>
      <c r="AM35" s="144">
        <v>0</v>
      </c>
      <c r="AN35" s="144">
        <v>0</v>
      </c>
      <c r="AO35" s="144">
        <v>0</v>
      </c>
      <c r="AP35" s="144">
        <v>0</v>
      </c>
      <c r="AQ35" s="144">
        <v>0</v>
      </c>
      <c r="AR35" s="144">
        <v>0</v>
      </c>
      <c r="AS35" s="144">
        <v>0</v>
      </c>
      <c r="AT35" s="144">
        <v>0</v>
      </c>
      <c r="AU35" s="144">
        <v>0</v>
      </c>
      <c r="AV35" s="144">
        <v>0</v>
      </c>
      <c r="AW35" s="144">
        <v>0</v>
      </c>
      <c r="AX35" s="143"/>
    </row>
    <row r="36" spans="2:50" x14ac:dyDescent="0.25">
      <c r="R36" s="141">
        <v>1878.2221690077715</v>
      </c>
      <c r="S36" s="144">
        <v>0</v>
      </c>
      <c r="T36" s="144">
        <v>0</v>
      </c>
      <c r="U36" s="144">
        <v>0</v>
      </c>
      <c r="V36" s="144">
        <v>0</v>
      </c>
      <c r="W36" s="144">
        <v>0</v>
      </c>
      <c r="X36" s="144">
        <v>0</v>
      </c>
      <c r="Y36" s="144">
        <v>0</v>
      </c>
      <c r="Z36" s="144">
        <v>0</v>
      </c>
      <c r="AA36" s="144">
        <v>0</v>
      </c>
      <c r="AB36" s="144">
        <v>0</v>
      </c>
      <c r="AC36" s="144">
        <v>0</v>
      </c>
      <c r="AD36" s="144">
        <v>0</v>
      </c>
      <c r="AE36" s="144">
        <v>0</v>
      </c>
      <c r="AF36" s="144">
        <v>0</v>
      </c>
      <c r="AG36" s="144">
        <v>0</v>
      </c>
      <c r="AH36" s="144">
        <v>0</v>
      </c>
      <c r="AI36" s="144">
        <v>0</v>
      </c>
      <c r="AJ36" s="144">
        <v>0</v>
      </c>
      <c r="AK36" s="144">
        <v>0</v>
      </c>
      <c r="AL36" s="144">
        <v>0</v>
      </c>
      <c r="AM36" s="144">
        <v>0</v>
      </c>
      <c r="AN36" s="144">
        <v>0</v>
      </c>
      <c r="AO36" s="144">
        <v>0</v>
      </c>
      <c r="AP36" s="144">
        <v>0</v>
      </c>
      <c r="AQ36" s="144">
        <v>0</v>
      </c>
      <c r="AR36" s="144">
        <v>0</v>
      </c>
      <c r="AS36" s="144">
        <v>0</v>
      </c>
      <c r="AT36" s="144">
        <v>0</v>
      </c>
      <c r="AU36" s="144">
        <v>0</v>
      </c>
      <c r="AV36" s="144">
        <v>0</v>
      </c>
      <c r="AW36" s="144">
        <v>0</v>
      </c>
      <c r="AX36" s="143"/>
    </row>
    <row r="37" spans="2:50" x14ac:dyDescent="0.25">
      <c r="R37" s="141">
        <v>1935.1379923110374</v>
      </c>
      <c r="S37" s="144">
        <v>0</v>
      </c>
      <c r="T37" s="144">
        <v>0</v>
      </c>
      <c r="U37" s="144">
        <v>0</v>
      </c>
      <c r="V37" s="144">
        <v>0</v>
      </c>
      <c r="W37" s="144">
        <v>0</v>
      </c>
      <c r="X37" s="144">
        <v>0</v>
      </c>
      <c r="Y37" s="144">
        <v>0</v>
      </c>
      <c r="Z37" s="144">
        <v>0</v>
      </c>
      <c r="AA37" s="144">
        <v>0</v>
      </c>
      <c r="AB37" s="144">
        <v>0</v>
      </c>
      <c r="AC37" s="144">
        <v>0</v>
      </c>
      <c r="AD37" s="144">
        <v>0</v>
      </c>
      <c r="AE37" s="144">
        <v>0</v>
      </c>
      <c r="AF37" s="144">
        <v>0</v>
      </c>
      <c r="AG37" s="144">
        <v>0</v>
      </c>
      <c r="AH37" s="144">
        <v>0</v>
      </c>
      <c r="AI37" s="144">
        <v>0</v>
      </c>
      <c r="AJ37" s="144">
        <v>0</v>
      </c>
      <c r="AK37" s="144">
        <v>0</v>
      </c>
      <c r="AL37" s="144">
        <v>0</v>
      </c>
      <c r="AM37" s="144">
        <v>0</v>
      </c>
      <c r="AN37" s="144">
        <v>0</v>
      </c>
      <c r="AO37" s="144">
        <v>0</v>
      </c>
      <c r="AP37" s="144">
        <v>0</v>
      </c>
      <c r="AQ37" s="144">
        <v>0</v>
      </c>
      <c r="AR37" s="144">
        <v>0</v>
      </c>
      <c r="AS37" s="144">
        <v>0</v>
      </c>
      <c r="AT37" s="144">
        <v>0</v>
      </c>
      <c r="AU37" s="144">
        <v>0</v>
      </c>
      <c r="AV37" s="144">
        <v>0</v>
      </c>
      <c r="AW37" s="144">
        <v>0</v>
      </c>
      <c r="AX37" s="143"/>
    </row>
    <row r="38" spans="2:50" x14ac:dyDescent="0.25">
      <c r="R38" s="141">
        <v>1992.0538156143032</v>
      </c>
      <c r="S38" s="144">
        <v>0</v>
      </c>
      <c r="T38" s="144">
        <v>0</v>
      </c>
      <c r="U38" s="144">
        <v>0</v>
      </c>
      <c r="V38" s="144">
        <v>0</v>
      </c>
      <c r="W38" s="144">
        <v>0</v>
      </c>
      <c r="X38" s="144">
        <v>0</v>
      </c>
      <c r="Y38" s="144">
        <v>0</v>
      </c>
      <c r="Z38" s="144">
        <v>0</v>
      </c>
      <c r="AA38" s="144">
        <v>0</v>
      </c>
      <c r="AB38" s="144">
        <v>0</v>
      </c>
      <c r="AC38" s="144">
        <v>0</v>
      </c>
      <c r="AD38" s="144">
        <v>0</v>
      </c>
      <c r="AE38" s="144">
        <v>0</v>
      </c>
      <c r="AF38" s="144">
        <v>0</v>
      </c>
      <c r="AG38" s="144">
        <v>0</v>
      </c>
      <c r="AH38" s="144">
        <v>0</v>
      </c>
      <c r="AI38" s="144">
        <v>0</v>
      </c>
      <c r="AJ38" s="144">
        <v>0</v>
      </c>
      <c r="AK38" s="144">
        <v>0</v>
      </c>
      <c r="AL38" s="144">
        <v>0</v>
      </c>
      <c r="AM38" s="144">
        <v>0</v>
      </c>
      <c r="AN38" s="144">
        <v>0</v>
      </c>
      <c r="AO38" s="144">
        <v>0</v>
      </c>
      <c r="AP38" s="144">
        <v>0</v>
      </c>
      <c r="AQ38" s="144">
        <v>0</v>
      </c>
      <c r="AR38" s="144">
        <v>0</v>
      </c>
      <c r="AS38" s="144">
        <v>0</v>
      </c>
      <c r="AT38" s="144">
        <v>0</v>
      </c>
      <c r="AU38" s="144">
        <v>0</v>
      </c>
      <c r="AV38" s="144">
        <v>0</v>
      </c>
      <c r="AW38" s="144">
        <v>0</v>
      </c>
      <c r="AX38" s="143"/>
    </row>
    <row r="39" spans="2:50" x14ac:dyDescent="0.25">
      <c r="R39" s="141">
        <v>2048.9696389175692</v>
      </c>
      <c r="S39" s="144">
        <v>0</v>
      </c>
      <c r="T39" s="144">
        <v>0</v>
      </c>
      <c r="U39" s="144">
        <v>0</v>
      </c>
      <c r="V39" s="144">
        <v>0</v>
      </c>
      <c r="W39" s="144">
        <v>0</v>
      </c>
      <c r="X39" s="144">
        <v>0</v>
      </c>
      <c r="Y39" s="144">
        <v>0</v>
      </c>
      <c r="Z39" s="144">
        <v>0</v>
      </c>
      <c r="AA39" s="144">
        <v>0</v>
      </c>
      <c r="AB39" s="144">
        <v>0</v>
      </c>
      <c r="AC39" s="144">
        <v>0</v>
      </c>
      <c r="AD39" s="144">
        <v>0</v>
      </c>
      <c r="AE39" s="144">
        <v>0</v>
      </c>
      <c r="AF39" s="144">
        <v>0</v>
      </c>
      <c r="AG39" s="144">
        <v>0</v>
      </c>
      <c r="AH39" s="144">
        <v>0</v>
      </c>
      <c r="AI39" s="144">
        <v>0</v>
      </c>
      <c r="AJ39" s="144">
        <v>0</v>
      </c>
      <c r="AK39" s="144">
        <v>0</v>
      </c>
      <c r="AL39" s="144">
        <v>0</v>
      </c>
      <c r="AM39" s="144">
        <v>0</v>
      </c>
      <c r="AN39" s="144">
        <v>0</v>
      </c>
      <c r="AO39" s="144">
        <v>0</v>
      </c>
      <c r="AP39" s="144">
        <v>0</v>
      </c>
      <c r="AQ39" s="144">
        <v>0</v>
      </c>
      <c r="AR39" s="144">
        <v>0</v>
      </c>
      <c r="AS39" s="144">
        <v>0</v>
      </c>
      <c r="AT39" s="144">
        <v>0</v>
      </c>
      <c r="AU39" s="144">
        <v>0</v>
      </c>
      <c r="AV39" s="144">
        <v>0</v>
      </c>
      <c r="AW39" s="144">
        <v>0</v>
      </c>
      <c r="AX39" s="143"/>
    </row>
    <row r="40" spans="2:50" x14ac:dyDescent="0.25">
      <c r="R40" s="141">
        <v>2105.8854622208351</v>
      </c>
      <c r="S40" s="144">
        <v>0</v>
      </c>
      <c r="T40" s="144">
        <v>0</v>
      </c>
      <c r="U40" s="144">
        <v>0</v>
      </c>
      <c r="V40" s="144">
        <v>0</v>
      </c>
      <c r="W40" s="144">
        <v>0</v>
      </c>
      <c r="X40" s="144">
        <v>0</v>
      </c>
      <c r="Y40" s="144">
        <v>0</v>
      </c>
      <c r="Z40" s="144">
        <v>0</v>
      </c>
      <c r="AA40" s="144">
        <v>0</v>
      </c>
      <c r="AB40" s="144">
        <v>0</v>
      </c>
      <c r="AC40" s="144">
        <v>0</v>
      </c>
      <c r="AD40" s="144">
        <v>0</v>
      </c>
      <c r="AE40" s="144">
        <v>0</v>
      </c>
      <c r="AF40" s="144">
        <v>0</v>
      </c>
      <c r="AG40" s="144">
        <v>0</v>
      </c>
      <c r="AH40" s="144">
        <v>0</v>
      </c>
      <c r="AI40" s="144">
        <v>0</v>
      </c>
      <c r="AJ40" s="144">
        <v>0</v>
      </c>
      <c r="AK40" s="144">
        <v>0</v>
      </c>
      <c r="AL40" s="144">
        <v>0</v>
      </c>
      <c r="AM40" s="144">
        <v>0</v>
      </c>
      <c r="AN40" s="144">
        <v>0</v>
      </c>
      <c r="AO40" s="144">
        <v>0</v>
      </c>
      <c r="AP40" s="144">
        <v>0</v>
      </c>
      <c r="AQ40" s="144">
        <v>0</v>
      </c>
      <c r="AR40" s="144">
        <v>0</v>
      </c>
      <c r="AS40" s="144">
        <v>0</v>
      </c>
      <c r="AT40" s="144">
        <v>0</v>
      </c>
      <c r="AU40" s="144">
        <v>0</v>
      </c>
      <c r="AV40" s="144">
        <v>0</v>
      </c>
      <c r="AW40" s="144">
        <v>0</v>
      </c>
      <c r="AX40" s="143"/>
    </row>
    <row r="41" spans="2:50" x14ac:dyDescent="0.25">
      <c r="R41" s="141">
        <v>2162.8012855241009</v>
      </c>
      <c r="S41" s="144">
        <v>0</v>
      </c>
      <c r="T41" s="144">
        <v>0</v>
      </c>
      <c r="U41" s="144">
        <v>0</v>
      </c>
      <c r="V41" s="144">
        <v>0</v>
      </c>
      <c r="W41" s="144">
        <v>0</v>
      </c>
      <c r="X41" s="144">
        <v>0</v>
      </c>
      <c r="Y41" s="144">
        <v>0</v>
      </c>
      <c r="Z41" s="144">
        <v>0</v>
      </c>
      <c r="AA41" s="144">
        <v>0</v>
      </c>
      <c r="AB41" s="144">
        <v>0</v>
      </c>
      <c r="AC41" s="144">
        <v>0</v>
      </c>
      <c r="AD41" s="144">
        <v>0</v>
      </c>
      <c r="AE41" s="144">
        <v>0</v>
      </c>
      <c r="AF41" s="144">
        <v>0</v>
      </c>
      <c r="AG41" s="144">
        <v>0</v>
      </c>
      <c r="AH41" s="144">
        <v>0</v>
      </c>
      <c r="AI41" s="144">
        <v>0</v>
      </c>
      <c r="AJ41" s="144">
        <v>0</v>
      </c>
      <c r="AK41" s="144">
        <v>0</v>
      </c>
      <c r="AL41" s="144">
        <v>0</v>
      </c>
      <c r="AM41" s="144">
        <v>0</v>
      </c>
      <c r="AN41" s="144">
        <v>0</v>
      </c>
      <c r="AO41" s="144">
        <v>0</v>
      </c>
      <c r="AP41" s="144">
        <v>0</v>
      </c>
      <c r="AQ41" s="144">
        <v>0</v>
      </c>
      <c r="AR41" s="144">
        <v>0</v>
      </c>
      <c r="AS41" s="144">
        <v>0</v>
      </c>
      <c r="AT41" s="144">
        <v>0</v>
      </c>
      <c r="AU41" s="144">
        <v>0</v>
      </c>
      <c r="AV41" s="144">
        <v>0</v>
      </c>
      <c r="AW41" s="144">
        <v>0</v>
      </c>
      <c r="AX41" s="143"/>
    </row>
    <row r="42" spans="2:50" x14ac:dyDescent="0.25">
      <c r="R42" s="141">
        <v>2219.7171088273667</v>
      </c>
      <c r="S42" s="144">
        <v>0</v>
      </c>
      <c r="T42" s="144">
        <v>0</v>
      </c>
      <c r="U42" s="144">
        <v>0</v>
      </c>
      <c r="V42" s="144">
        <v>0</v>
      </c>
      <c r="W42" s="144">
        <v>0</v>
      </c>
      <c r="X42" s="144">
        <v>0</v>
      </c>
      <c r="Y42" s="144">
        <v>0</v>
      </c>
      <c r="Z42" s="144">
        <v>0</v>
      </c>
      <c r="AA42" s="144">
        <v>0</v>
      </c>
      <c r="AB42" s="144">
        <v>0</v>
      </c>
      <c r="AC42" s="144">
        <v>0</v>
      </c>
      <c r="AD42" s="144">
        <v>0</v>
      </c>
      <c r="AE42" s="144">
        <v>0</v>
      </c>
      <c r="AF42" s="144">
        <v>0</v>
      </c>
      <c r="AG42" s="144">
        <v>0</v>
      </c>
      <c r="AH42" s="144">
        <v>0</v>
      </c>
      <c r="AI42" s="144">
        <v>0</v>
      </c>
      <c r="AJ42" s="144">
        <v>0</v>
      </c>
      <c r="AK42" s="144">
        <v>0</v>
      </c>
      <c r="AL42" s="144">
        <v>0</v>
      </c>
      <c r="AM42" s="144">
        <v>0</v>
      </c>
      <c r="AN42" s="144">
        <v>0</v>
      </c>
      <c r="AO42" s="144">
        <v>0</v>
      </c>
      <c r="AP42" s="144">
        <v>0</v>
      </c>
      <c r="AQ42" s="144">
        <v>0</v>
      </c>
      <c r="AR42" s="144">
        <v>0</v>
      </c>
      <c r="AS42" s="144">
        <v>0</v>
      </c>
      <c r="AT42" s="144">
        <v>0</v>
      </c>
      <c r="AU42" s="144">
        <v>0</v>
      </c>
      <c r="AV42" s="144">
        <v>0</v>
      </c>
      <c r="AW42" s="144">
        <v>0</v>
      </c>
      <c r="AX42" s="143"/>
    </row>
    <row r="43" spans="2:50" x14ac:dyDescent="0.25">
      <c r="R43" s="141">
        <v>2276.6329321306321</v>
      </c>
      <c r="S43" s="144">
        <v>0</v>
      </c>
      <c r="T43" s="144">
        <v>0</v>
      </c>
      <c r="U43" s="144">
        <v>0</v>
      </c>
      <c r="V43" s="144">
        <v>0</v>
      </c>
      <c r="W43" s="144">
        <v>0</v>
      </c>
      <c r="X43" s="144">
        <v>0</v>
      </c>
      <c r="Y43" s="144">
        <v>0</v>
      </c>
      <c r="Z43" s="144">
        <v>0</v>
      </c>
      <c r="AA43" s="144">
        <v>0</v>
      </c>
      <c r="AB43" s="144">
        <v>0</v>
      </c>
      <c r="AC43" s="144">
        <v>0</v>
      </c>
      <c r="AD43" s="144">
        <v>0</v>
      </c>
      <c r="AE43" s="144">
        <v>0</v>
      </c>
      <c r="AF43" s="144">
        <v>0</v>
      </c>
      <c r="AG43" s="144">
        <v>0</v>
      </c>
      <c r="AH43" s="144">
        <v>0</v>
      </c>
      <c r="AI43" s="144">
        <v>0</v>
      </c>
      <c r="AJ43" s="144">
        <v>0</v>
      </c>
      <c r="AK43" s="144">
        <v>0</v>
      </c>
      <c r="AL43" s="144">
        <v>0</v>
      </c>
      <c r="AM43" s="144">
        <v>0</v>
      </c>
      <c r="AN43" s="144">
        <v>0</v>
      </c>
      <c r="AO43" s="144">
        <v>0</v>
      </c>
      <c r="AP43" s="144">
        <v>0</v>
      </c>
      <c r="AQ43" s="144">
        <v>0</v>
      </c>
      <c r="AR43" s="144">
        <v>0</v>
      </c>
      <c r="AS43" s="144">
        <v>0</v>
      </c>
      <c r="AT43" s="144">
        <v>0</v>
      </c>
      <c r="AU43" s="144">
        <v>0</v>
      </c>
      <c r="AV43" s="144">
        <v>0</v>
      </c>
      <c r="AW43" s="144">
        <v>0</v>
      </c>
      <c r="AX43" s="143"/>
    </row>
    <row r="44" spans="2:50" x14ac:dyDescent="0.25">
      <c r="R44" s="141">
        <v>2333.5487554338979</v>
      </c>
      <c r="S44" s="144">
        <v>0</v>
      </c>
      <c r="T44" s="144">
        <v>0</v>
      </c>
      <c r="U44" s="144">
        <v>0</v>
      </c>
      <c r="V44" s="144">
        <v>0</v>
      </c>
      <c r="W44" s="144">
        <v>0</v>
      </c>
      <c r="X44" s="144">
        <v>0</v>
      </c>
      <c r="Y44" s="144">
        <v>0</v>
      </c>
      <c r="Z44" s="144">
        <v>0</v>
      </c>
      <c r="AA44" s="144">
        <v>0</v>
      </c>
      <c r="AB44" s="144">
        <v>0</v>
      </c>
      <c r="AC44" s="144">
        <v>0</v>
      </c>
      <c r="AD44" s="144">
        <v>0</v>
      </c>
      <c r="AE44" s="144">
        <v>0</v>
      </c>
      <c r="AF44" s="144">
        <v>0</v>
      </c>
      <c r="AG44" s="144">
        <v>0</v>
      </c>
      <c r="AH44" s="144">
        <v>0</v>
      </c>
      <c r="AI44" s="144">
        <v>0</v>
      </c>
      <c r="AJ44" s="144">
        <v>0</v>
      </c>
      <c r="AK44" s="144">
        <v>0</v>
      </c>
      <c r="AL44" s="144">
        <v>0</v>
      </c>
      <c r="AM44" s="144">
        <v>0</v>
      </c>
      <c r="AN44" s="144">
        <v>0</v>
      </c>
      <c r="AO44" s="144">
        <v>0</v>
      </c>
      <c r="AP44" s="144">
        <v>0</v>
      </c>
      <c r="AQ44" s="144">
        <v>0</v>
      </c>
      <c r="AR44" s="144">
        <v>0</v>
      </c>
      <c r="AS44" s="144">
        <v>0</v>
      </c>
      <c r="AT44" s="144">
        <v>0</v>
      </c>
      <c r="AU44" s="144">
        <v>0</v>
      </c>
      <c r="AV44" s="144">
        <v>0</v>
      </c>
      <c r="AW44" s="144">
        <v>0</v>
      </c>
      <c r="AX44" s="143"/>
    </row>
    <row r="45" spans="2:50" x14ac:dyDescent="0.25">
      <c r="R45" s="141">
        <v>2390.4645787371637</v>
      </c>
      <c r="S45" s="144">
        <v>0</v>
      </c>
      <c r="T45" s="144">
        <v>0</v>
      </c>
      <c r="U45" s="144">
        <v>0</v>
      </c>
      <c r="V45" s="144">
        <v>0</v>
      </c>
      <c r="W45" s="144">
        <v>0</v>
      </c>
      <c r="X45" s="144">
        <v>0</v>
      </c>
      <c r="Y45" s="144">
        <v>0</v>
      </c>
      <c r="Z45" s="144">
        <v>0</v>
      </c>
      <c r="AA45" s="144">
        <v>0</v>
      </c>
      <c r="AB45" s="144">
        <v>0</v>
      </c>
      <c r="AC45" s="144">
        <v>0</v>
      </c>
      <c r="AD45" s="144">
        <v>0</v>
      </c>
      <c r="AE45" s="144">
        <v>0</v>
      </c>
      <c r="AF45" s="144">
        <v>0</v>
      </c>
      <c r="AG45" s="144">
        <v>0</v>
      </c>
      <c r="AH45" s="144">
        <v>0</v>
      </c>
      <c r="AI45" s="144">
        <v>0</v>
      </c>
      <c r="AJ45" s="144">
        <v>0</v>
      </c>
      <c r="AK45" s="144">
        <v>0</v>
      </c>
      <c r="AL45" s="144">
        <v>0</v>
      </c>
      <c r="AM45" s="144">
        <v>0</v>
      </c>
      <c r="AN45" s="144">
        <v>0</v>
      </c>
      <c r="AO45" s="144">
        <v>0</v>
      </c>
      <c r="AP45" s="144">
        <v>0</v>
      </c>
      <c r="AQ45" s="144">
        <v>0</v>
      </c>
      <c r="AR45" s="144">
        <v>0</v>
      </c>
      <c r="AS45" s="144">
        <v>0</v>
      </c>
      <c r="AT45" s="144">
        <v>0</v>
      </c>
      <c r="AU45" s="144">
        <v>0</v>
      </c>
      <c r="AV45" s="144">
        <v>0</v>
      </c>
      <c r="AW45" s="144">
        <v>0</v>
      </c>
      <c r="AX45" s="143"/>
    </row>
    <row r="46" spans="2:50" x14ac:dyDescent="0.25">
      <c r="R46" s="141">
        <v>2447.3804020404295</v>
      </c>
      <c r="S46" s="144">
        <v>0</v>
      </c>
      <c r="T46" s="144">
        <v>0</v>
      </c>
      <c r="U46" s="144">
        <v>0</v>
      </c>
      <c r="V46" s="144">
        <v>0</v>
      </c>
      <c r="W46" s="144">
        <v>0</v>
      </c>
      <c r="X46" s="144">
        <v>0</v>
      </c>
      <c r="Y46" s="144">
        <v>0</v>
      </c>
      <c r="Z46" s="144">
        <v>0</v>
      </c>
      <c r="AA46" s="144">
        <v>0</v>
      </c>
      <c r="AB46" s="144">
        <v>0</v>
      </c>
      <c r="AC46" s="144">
        <v>0</v>
      </c>
      <c r="AD46" s="144">
        <v>0</v>
      </c>
      <c r="AE46" s="144">
        <v>0</v>
      </c>
      <c r="AF46" s="144">
        <v>0</v>
      </c>
      <c r="AG46" s="144">
        <v>0</v>
      </c>
      <c r="AH46" s="144">
        <v>0</v>
      </c>
      <c r="AI46" s="144">
        <v>0</v>
      </c>
      <c r="AJ46" s="144">
        <v>0</v>
      </c>
      <c r="AK46" s="144">
        <v>0</v>
      </c>
      <c r="AL46" s="144">
        <v>0</v>
      </c>
      <c r="AM46" s="144">
        <v>0</v>
      </c>
      <c r="AN46" s="144">
        <v>0</v>
      </c>
      <c r="AO46" s="144">
        <v>0</v>
      </c>
      <c r="AP46" s="144">
        <v>0</v>
      </c>
      <c r="AQ46" s="144">
        <v>0</v>
      </c>
      <c r="AR46" s="144">
        <v>0</v>
      </c>
      <c r="AS46" s="144">
        <v>0</v>
      </c>
      <c r="AT46" s="144">
        <v>0</v>
      </c>
      <c r="AU46" s="144">
        <v>0</v>
      </c>
      <c r="AV46" s="144">
        <v>0</v>
      </c>
      <c r="AW46" s="144">
        <v>0</v>
      </c>
      <c r="AX46" s="143"/>
    </row>
    <row r="47" spans="2:50" x14ac:dyDescent="0.25">
      <c r="R47" s="141">
        <v>2504.2962253436954</v>
      </c>
      <c r="S47" s="144">
        <v>0</v>
      </c>
      <c r="T47" s="144">
        <v>0</v>
      </c>
      <c r="U47" s="144">
        <v>0</v>
      </c>
      <c r="V47" s="144">
        <v>0</v>
      </c>
      <c r="W47" s="144">
        <v>0</v>
      </c>
      <c r="X47" s="144">
        <v>0</v>
      </c>
      <c r="Y47" s="144">
        <v>0</v>
      </c>
      <c r="Z47" s="144">
        <v>0</v>
      </c>
      <c r="AA47" s="144">
        <v>0</v>
      </c>
      <c r="AB47" s="144">
        <v>0</v>
      </c>
      <c r="AC47" s="144">
        <v>0</v>
      </c>
      <c r="AD47" s="144">
        <v>0</v>
      </c>
      <c r="AE47" s="144">
        <v>0</v>
      </c>
      <c r="AF47" s="144">
        <v>0</v>
      </c>
      <c r="AG47" s="144">
        <v>0</v>
      </c>
      <c r="AH47" s="144">
        <v>0</v>
      </c>
      <c r="AI47" s="144">
        <v>0</v>
      </c>
      <c r="AJ47" s="144">
        <v>0</v>
      </c>
      <c r="AK47" s="144">
        <v>0</v>
      </c>
      <c r="AL47" s="144">
        <v>0</v>
      </c>
      <c r="AM47" s="144">
        <v>0</v>
      </c>
      <c r="AN47" s="144">
        <v>0</v>
      </c>
      <c r="AO47" s="144">
        <v>0</v>
      </c>
      <c r="AP47" s="144">
        <v>0</v>
      </c>
      <c r="AQ47" s="144">
        <v>0</v>
      </c>
      <c r="AR47" s="144">
        <v>0</v>
      </c>
      <c r="AS47" s="144">
        <v>0</v>
      </c>
      <c r="AT47" s="144">
        <v>0</v>
      </c>
      <c r="AU47" s="144">
        <v>0</v>
      </c>
      <c r="AV47" s="144">
        <v>0</v>
      </c>
      <c r="AW47" s="144">
        <v>0</v>
      </c>
      <c r="AX47" s="143"/>
    </row>
    <row r="48" spans="2:50" x14ac:dyDescent="0.25">
      <c r="R48" s="141">
        <v>2561.2120486469612</v>
      </c>
      <c r="S48" s="144">
        <v>0</v>
      </c>
      <c r="T48" s="144">
        <v>0</v>
      </c>
      <c r="U48" s="144">
        <v>0</v>
      </c>
      <c r="V48" s="144">
        <v>0</v>
      </c>
      <c r="W48" s="144">
        <v>0</v>
      </c>
      <c r="X48" s="144">
        <v>0</v>
      </c>
      <c r="Y48" s="144">
        <v>0</v>
      </c>
      <c r="Z48" s="144">
        <v>0</v>
      </c>
      <c r="AA48" s="144">
        <v>0</v>
      </c>
      <c r="AB48" s="144">
        <v>0</v>
      </c>
      <c r="AC48" s="144">
        <v>0</v>
      </c>
      <c r="AD48" s="144">
        <v>0</v>
      </c>
      <c r="AE48" s="144">
        <v>0</v>
      </c>
      <c r="AF48" s="144">
        <v>0</v>
      </c>
      <c r="AG48" s="144">
        <v>0</v>
      </c>
      <c r="AH48" s="144">
        <v>0</v>
      </c>
      <c r="AI48" s="144">
        <v>0</v>
      </c>
      <c r="AJ48" s="144">
        <v>0</v>
      </c>
      <c r="AK48" s="144">
        <v>0</v>
      </c>
      <c r="AL48" s="144">
        <v>0</v>
      </c>
      <c r="AM48" s="144">
        <v>0</v>
      </c>
      <c r="AN48" s="144">
        <v>0</v>
      </c>
      <c r="AO48" s="144">
        <v>0</v>
      </c>
      <c r="AP48" s="144">
        <v>0</v>
      </c>
      <c r="AQ48" s="144">
        <v>0</v>
      </c>
      <c r="AR48" s="144">
        <v>0</v>
      </c>
      <c r="AS48" s="144">
        <v>0</v>
      </c>
      <c r="AT48" s="144">
        <v>0</v>
      </c>
      <c r="AU48" s="144">
        <v>0</v>
      </c>
      <c r="AV48" s="144">
        <v>0</v>
      </c>
      <c r="AW48" s="144">
        <v>0</v>
      </c>
      <c r="AX48" s="143"/>
    </row>
    <row r="49" spans="18:50" x14ac:dyDescent="0.25">
      <c r="R49" s="141">
        <v>2618.1278719502275</v>
      </c>
      <c r="S49" s="144">
        <v>0</v>
      </c>
      <c r="T49" s="144">
        <v>0</v>
      </c>
      <c r="U49" s="144">
        <v>0</v>
      </c>
      <c r="V49" s="144">
        <v>0</v>
      </c>
      <c r="W49" s="144">
        <v>0</v>
      </c>
      <c r="X49" s="144">
        <v>0</v>
      </c>
      <c r="Y49" s="144">
        <v>0</v>
      </c>
      <c r="Z49" s="144">
        <v>0</v>
      </c>
      <c r="AA49" s="144">
        <v>0</v>
      </c>
      <c r="AB49" s="144">
        <v>0</v>
      </c>
      <c r="AC49" s="144">
        <v>0</v>
      </c>
      <c r="AD49" s="144">
        <v>0</v>
      </c>
      <c r="AE49" s="144">
        <v>0</v>
      </c>
      <c r="AF49" s="144">
        <v>0</v>
      </c>
      <c r="AG49" s="144">
        <v>0</v>
      </c>
      <c r="AH49" s="144">
        <v>0</v>
      </c>
      <c r="AI49" s="144">
        <v>0</v>
      </c>
      <c r="AJ49" s="144">
        <v>0</v>
      </c>
      <c r="AK49" s="144">
        <v>0</v>
      </c>
      <c r="AL49" s="144">
        <v>0</v>
      </c>
      <c r="AM49" s="144">
        <v>0</v>
      </c>
      <c r="AN49" s="144">
        <v>0</v>
      </c>
      <c r="AO49" s="144">
        <v>0</v>
      </c>
      <c r="AP49" s="144">
        <v>0</v>
      </c>
      <c r="AQ49" s="144">
        <v>0</v>
      </c>
      <c r="AR49" s="144">
        <v>0</v>
      </c>
      <c r="AS49" s="144">
        <v>0</v>
      </c>
      <c r="AT49" s="144">
        <v>0</v>
      </c>
      <c r="AU49" s="144">
        <v>0</v>
      </c>
      <c r="AV49" s="144">
        <v>0</v>
      </c>
      <c r="AW49" s="144">
        <v>0</v>
      </c>
      <c r="AX49" s="143"/>
    </row>
    <row r="50" spans="18:50" x14ac:dyDescent="0.25">
      <c r="R50" s="141">
        <v>2675.0436952534928</v>
      </c>
      <c r="S50" s="144">
        <v>0</v>
      </c>
      <c r="T50" s="144">
        <v>0</v>
      </c>
      <c r="U50" s="144">
        <v>0</v>
      </c>
      <c r="V50" s="144">
        <v>0</v>
      </c>
      <c r="W50" s="144">
        <v>0</v>
      </c>
      <c r="X50" s="144">
        <v>0</v>
      </c>
      <c r="Y50" s="144">
        <v>0</v>
      </c>
      <c r="Z50" s="144">
        <v>0</v>
      </c>
      <c r="AA50" s="144">
        <v>0</v>
      </c>
      <c r="AB50" s="144">
        <v>0</v>
      </c>
      <c r="AC50" s="144">
        <v>0</v>
      </c>
      <c r="AD50" s="144">
        <v>0</v>
      </c>
      <c r="AE50" s="144">
        <v>0</v>
      </c>
      <c r="AF50" s="144">
        <v>0</v>
      </c>
      <c r="AG50" s="144">
        <v>0</v>
      </c>
      <c r="AH50" s="144">
        <v>0</v>
      </c>
      <c r="AI50" s="144">
        <v>0</v>
      </c>
      <c r="AJ50" s="144">
        <v>0</v>
      </c>
      <c r="AK50" s="144">
        <v>0</v>
      </c>
      <c r="AL50" s="144">
        <v>0</v>
      </c>
      <c r="AM50" s="144">
        <v>0</v>
      </c>
      <c r="AN50" s="144">
        <v>0</v>
      </c>
      <c r="AO50" s="144">
        <v>0</v>
      </c>
      <c r="AP50" s="144">
        <v>0</v>
      </c>
      <c r="AQ50" s="144">
        <v>0</v>
      </c>
      <c r="AR50" s="144">
        <v>0</v>
      </c>
      <c r="AS50" s="144">
        <v>0</v>
      </c>
      <c r="AT50" s="144">
        <v>0</v>
      </c>
      <c r="AU50" s="144">
        <v>0</v>
      </c>
      <c r="AV50" s="144">
        <v>0</v>
      </c>
      <c r="AW50" s="144">
        <v>0</v>
      </c>
      <c r="AX50" s="143"/>
    </row>
    <row r="51" spans="18:50" x14ac:dyDescent="0.25">
      <c r="R51" s="141">
        <v>2731.9595185567591</v>
      </c>
      <c r="S51" s="144">
        <v>0</v>
      </c>
      <c r="T51" s="144">
        <v>0</v>
      </c>
      <c r="U51" s="144">
        <v>0</v>
      </c>
      <c r="V51" s="144">
        <v>0</v>
      </c>
      <c r="W51" s="144">
        <v>0</v>
      </c>
      <c r="X51" s="144">
        <v>0</v>
      </c>
      <c r="Y51" s="144">
        <v>0</v>
      </c>
      <c r="Z51" s="144">
        <v>0</v>
      </c>
      <c r="AA51" s="144">
        <v>0</v>
      </c>
      <c r="AB51" s="144">
        <v>0</v>
      </c>
      <c r="AC51" s="144">
        <v>0</v>
      </c>
      <c r="AD51" s="144">
        <v>0</v>
      </c>
      <c r="AE51" s="144">
        <v>0</v>
      </c>
      <c r="AF51" s="144">
        <v>0</v>
      </c>
      <c r="AG51" s="144">
        <v>0</v>
      </c>
      <c r="AH51" s="144">
        <v>0</v>
      </c>
      <c r="AI51" s="144">
        <v>0</v>
      </c>
      <c r="AJ51" s="144">
        <v>0</v>
      </c>
      <c r="AK51" s="144">
        <v>0</v>
      </c>
      <c r="AL51" s="144">
        <v>0</v>
      </c>
      <c r="AM51" s="144">
        <v>0</v>
      </c>
      <c r="AN51" s="144">
        <v>0</v>
      </c>
      <c r="AO51" s="144">
        <v>0</v>
      </c>
      <c r="AP51" s="144">
        <v>0</v>
      </c>
      <c r="AQ51" s="144">
        <v>0</v>
      </c>
      <c r="AR51" s="144">
        <v>0</v>
      </c>
      <c r="AS51" s="144">
        <v>0</v>
      </c>
      <c r="AT51" s="144">
        <v>0</v>
      </c>
      <c r="AU51" s="144">
        <v>0</v>
      </c>
      <c r="AV51" s="144">
        <v>0</v>
      </c>
      <c r="AW51" s="144">
        <v>0</v>
      </c>
      <c r="AX51" s="143"/>
    </row>
    <row r="52" spans="18:50" x14ac:dyDescent="0.25">
      <c r="R52" s="141">
        <v>2788.8753418600245</v>
      </c>
      <c r="S52" s="144">
        <v>0</v>
      </c>
      <c r="T52" s="144">
        <v>0</v>
      </c>
      <c r="U52" s="144">
        <v>0</v>
      </c>
      <c r="V52" s="144">
        <v>0</v>
      </c>
      <c r="W52" s="144">
        <v>0</v>
      </c>
      <c r="X52" s="144">
        <v>0</v>
      </c>
      <c r="Y52" s="144">
        <v>0</v>
      </c>
      <c r="Z52" s="144">
        <v>0</v>
      </c>
      <c r="AA52" s="144">
        <v>0</v>
      </c>
      <c r="AB52" s="144">
        <v>0</v>
      </c>
      <c r="AC52" s="144">
        <v>0</v>
      </c>
      <c r="AD52" s="144">
        <v>0</v>
      </c>
      <c r="AE52" s="144">
        <v>0</v>
      </c>
      <c r="AF52" s="144">
        <v>0</v>
      </c>
      <c r="AG52" s="144">
        <v>0</v>
      </c>
      <c r="AH52" s="144">
        <v>0</v>
      </c>
      <c r="AI52" s="144">
        <v>0</v>
      </c>
      <c r="AJ52" s="144">
        <v>0</v>
      </c>
      <c r="AK52" s="144">
        <v>0</v>
      </c>
      <c r="AL52" s="144">
        <v>0</v>
      </c>
      <c r="AM52" s="144">
        <v>0</v>
      </c>
      <c r="AN52" s="144">
        <v>0</v>
      </c>
      <c r="AO52" s="144">
        <v>0</v>
      </c>
      <c r="AP52" s="144">
        <v>0</v>
      </c>
      <c r="AQ52" s="144">
        <v>0</v>
      </c>
      <c r="AR52" s="144">
        <v>0</v>
      </c>
      <c r="AS52" s="144">
        <v>0</v>
      </c>
      <c r="AT52" s="144">
        <v>0</v>
      </c>
      <c r="AU52" s="144">
        <v>0</v>
      </c>
      <c r="AV52" s="144">
        <v>0</v>
      </c>
      <c r="AW52" s="144">
        <v>0</v>
      </c>
      <c r="AX52" s="143"/>
    </row>
    <row r="53" spans="18:50" x14ac:dyDescent="0.25">
      <c r="R53" s="141">
        <v>2845.7911651632903</v>
      </c>
      <c r="S53" s="144">
        <v>0</v>
      </c>
      <c r="T53" s="144">
        <v>0</v>
      </c>
      <c r="U53" s="144">
        <v>0</v>
      </c>
      <c r="V53" s="144">
        <v>0</v>
      </c>
      <c r="W53" s="144">
        <v>0</v>
      </c>
      <c r="X53" s="144">
        <v>0</v>
      </c>
      <c r="Y53" s="144">
        <v>0</v>
      </c>
      <c r="Z53" s="144">
        <v>0</v>
      </c>
      <c r="AA53" s="144">
        <v>0</v>
      </c>
      <c r="AB53" s="144">
        <v>0</v>
      </c>
      <c r="AC53" s="144">
        <v>0</v>
      </c>
      <c r="AD53" s="144">
        <v>0</v>
      </c>
      <c r="AE53" s="144">
        <v>0</v>
      </c>
      <c r="AF53" s="144">
        <v>0</v>
      </c>
      <c r="AG53" s="144">
        <v>0</v>
      </c>
      <c r="AH53" s="144">
        <v>0</v>
      </c>
      <c r="AI53" s="144">
        <v>0</v>
      </c>
      <c r="AJ53" s="144">
        <v>0</v>
      </c>
      <c r="AK53" s="144">
        <v>0</v>
      </c>
      <c r="AL53" s="144">
        <v>0</v>
      </c>
      <c r="AM53" s="144">
        <v>0</v>
      </c>
      <c r="AN53" s="144">
        <v>0</v>
      </c>
      <c r="AO53" s="144">
        <v>0</v>
      </c>
      <c r="AP53" s="144">
        <v>0</v>
      </c>
      <c r="AQ53" s="144">
        <v>0</v>
      </c>
      <c r="AR53" s="144">
        <v>0</v>
      </c>
      <c r="AS53" s="144">
        <v>0</v>
      </c>
      <c r="AT53" s="144">
        <v>0</v>
      </c>
      <c r="AU53" s="144">
        <v>0</v>
      </c>
      <c r="AV53" s="144">
        <v>0</v>
      </c>
      <c r="AW53" s="144">
        <v>0</v>
      </c>
      <c r="AX53" s="143"/>
    </row>
    <row r="54" spans="18:50" x14ac:dyDescent="0.25">
      <c r="R54" s="141">
        <v>2902.7069884665561</v>
      </c>
      <c r="S54" s="144">
        <v>0</v>
      </c>
      <c r="T54" s="144">
        <v>0</v>
      </c>
      <c r="U54" s="144">
        <v>0</v>
      </c>
      <c r="V54" s="144">
        <v>0</v>
      </c>
      <c r="W54" s="144">
        <v>0</v>
      </c>
      <c r="X54" s="144">
        <v>0</v>
      </c>
      <c r="Y54" s="144">
        <v>0</v>
      </c>
      <c r="Z54" s="144">
        <v>0</v>
      </c>
      <c r="AA54" s="144">
        <v>0</v>
      </c>
      <c r="AB54" s="144">
        <v>0</v>
      </c>
      <c r="AC54" s="144">
        <v>0</v>
      </c>
      <c r="AD54" s="144">
        <v>0</v>
      </c>
      <c r="AE54" s="144">
        <v>0</v>
      </c>
      <c r="AF54" s="144">
        <v>0</v>
      </c>
      <c r="AG54" s="144">
        <v>0</v>
      </c>
      <c r="AH54" s="144">
        <v>0</v>
      </c>
      <c r="AI54" s="144">
        <v>0</v>
      </c>
      <c r="AJ54" s="144">
        <v>0</v>
      </c>
      <c r="AK54" s="144">
        <v>0</v>
      </c>
      <c r="AL54" s="144">
        <v>0</v>
      </c>
      <c r="AM54" s="144">
        <v>0</v>
      </c>
      <c r="AN54" s="144">
        <v>0</v>
      </c>
      <c r="AO54" s="144">
        <v>0</v>
      </c>
      <c r="AP54" s="144">
        <v>0</v>
      </c>
      <c r="AQ54" s="144">
        <v>0</v>
      </c>
      <c r="AR54" s="144">
        <v>0</v>
      </c>
      <c r="AS54" s="144">
        <v>0</v>
      </c>
      <c r="AT54" s="144">
        <v>0</v>
      </c>
      <c r="AU54" s="144">
        <v>0</v>
      </c>
      <c r="AV54" s="144">
        <v>0</v>
      </c>
      <c r="AW54" s="144">
        <v>0</v>
      </c>
      <c r="AX54" s="143"/>
    </row>
    <row r="55" spans="18:50" x14ac:dyDescent="0.25">
      <c r="R55" s="141">
        <v>2959.622811769822</v>
      </c>
      <c r="S55" s="144">
        <v>0</v>
      </c>
      <c r="T55" s="144">
        <v>0</v>
      </c>
      <c r="U55" s="144">
        <v>0</v>
      </c>
      <c r="V55" s="144">
        <v>0</v>
      </c>
      <c r="W55" s="144">
        <v>0</v>
      </c>
      <c r="X55" s="144">
        <v>0</v>
      </c>
      <c r="Y55" s="144">
        <v>0</v>
      </c>
      <c r="Z55" s="144">
        <v>0</v>
      </c>
      <c r="AA55" s="144">
        <v>0</v>
      </c>
      <c r="AB55" s="144">
        <v>0</v>
      </c>
      <c r="AC55" s="144">
        <v>0</v>
      </c>
      <c r="AD55" s="144">
        <v>0</v>
      </c>
      <c r="AE55" s="144">
        <v>0</v>
      </c>
      <c r="AF55" s="144">
        <v>0</v>
      </c>
      <c r="AG55" s="144">
        <v>0</v>
      </c>
      <c r="AH55" s="144">
        <v>0</v>
      </c>
      <c r="AI55" s="144">
        <v>0</v>
      </c>
      <c r="AJ55" s="144">
        <v>0</v>
      </c>
      <c r="AK55" s="144">
        <v>0</v>
      </c>
      <c r="AL55" s="144">
        <v>0</v>
      </c>
      <c r="AM55" s="144">
        <v>0</v>
      </c>
      <c r="AN55" s="144">
        <v>0</v>
      </c>
      <c r="AO55" s="144">
        <v>0</v>
      </c>
      <c r="AP55" s="144">
        <v>0</v>
      </c>
      <c r="AQ55" s="144">
        <v>0</v>
      </c>
      <c r="AR55" s="144">
        <v>0</v>
      </c>
      <c r="AS55" s="144">
        <v>0</v>
      </c>
      <c r="AT55" s="144">
        <v>0</v>
      </c>
      <c r="AU55" s="144">
        <v>0</v>
      </c>
      <c r="AV55" s="144">
        <v>0</v>
      </c>
      <c r="AW55" s="144">
        <v>0</v>
      </c>
      <c r="AX55" s="143"/>
    </row>
    <row r="56" spans="18:50" x14ac:dyDescent="0.25">
      <c r="R56" s="141">
        <v>3016.5386350730882</v>
      </c>
      <c r="S56" s="144">
        <v>0</v>
      </c>
      <c r="T56" s="144">
        <v>0</v>
      </c>
      <c r="U56" s="144">
        <v>0</v>
      </c>
      <c r="V56" s="144">
        <v>0</v>
      </c>
      <c r="W56" s="144">
        <v>0</v>
      </c>
      <c r="X56" s="144">
        <v>0</v>
      </c>
      <c r="Y56" s="144">
        <v>0</v>
      </c>
      <c r="Z56" s="144">
        <v>0</v>
      </c>
      <c r="AA56" s="144">
        <v>0</v>
      </c>
      <c r="AB56" s="144">
        <v>0</v>
      </c>
      <c r="AC56" s="144">
        <v>0</v>
      </c>
      <c r="AD56" s="144">
        <v>0</v>
      </c>
      <c r="AE56" s="144">
        <v>0</v>
      </c>
      <c r="AF56" s="144">
        <v>0</v>
      </c>
      <c r="AG56" s="144">
        <v>0</v>
      </c>
      <c r="AH56" s="144">
        <v>0</v>
      </c>
      <c r="AI56" s="144">
        <v>0</v>
      </c>
      <c r="AJ56" s="144">
        <v>0</v>
      </c>
      <c r="AK56" s="144">
        <v>0</v>
      </c>
      <c r="AL56" s="144">
        <v>0</v>
      </c>
      <c r="AM56" s="144">
        <v>0</v>
      </c>
      <c r="AN56" s="144">
        <v>0</v>
      </c>
      <c r="AO56" s="144">
        <v>0</v>
      </c>
      <c r="AP56" s="144">
        <v>0</v>
      </c>
      <c r="AQ56" s="144">
        <v>0</v>
      </c>
      <c r="AR56" s="144">
        <v>0</v>
      </c>
      <c r="AS56" s="144">
        <v>0</v>
      </c>
      <c r="AT56" s="144">
        <v>0</v>
      </c>
      <c r="AU56" s="144">
        <v>0</v>
      </c>
      <c r="AV56" s="144">
        <v>0</v>
      </c>
      <c r="AW56" s="144">
        <v>0</v>
      </c>
      <c r="AX56" s="143"/>
    </row>
    <row r="57" spans="18:50" x14ac:dyDescent="0.25">
      <c r="R57" s="141">
        <v>3073.4544583763536</v>
      </c>
      <c r="S57" s="144">
        <v>0</v>
      </c>
      <c r="T57" s="144">
        <v>0</v>
      </c>
      <c r="U57" s="144">
        <v>0</v>
      </c>
      <c r="V57" s="144">
        <v>0</v>
      </c>
      <c r="W57" s="144">
        <v>0</v>
      </c>
      <c r="X57" s="144">
        <v>0</v>
      </c>
      <c r="Y57" s="144">
        <v>0</v>
      </c>
      <c r="Z57" s="144">
        <v>0</v>
      </c>
      <c r="AA57" s="144">
        <v>0</v>
      </c>
      <c r="AB57" s="144">
        <v>0</v>
      </c>
      <c r="AC57" s="144">
        <v>0</v>
      </c>
      <c r="AD57" s="144">
        <v>0</v>
      </c>
      <c r="AE57" s="144">
        <v>0</v>
      </c>
      <c r="AF57" s="144">
        <v>0</v>
      </c>
      <c r="AG57" s="144">
        <v>0</v>
      </c>
      <c r="AH57" s="144">
        <v>0</v>
      </c>
      <c r="AI57" s="144">
        <v>0</v>
      </c>
      <c r="AJ57" s="144">
        <v>0</v>
      </c>
      <c r="AK57" s="144">
        <v>0</v>
      </c>
      <c r="AL57" s="144">
        <v>0</v>
      </c>
      <c r="AM57" s="144">
        <v>0</v>
      </c>
      <c r="AN57" s="144">
        <v>0</v>
      </c>
      <c r="AO57" s="144">
        <v>0</v>
      </c>
      <c r="AP57" s="144">
        <v>0</v>
      </c>
      <c r="AQ57" s="144">
        <v>0</v>
      </c>
      <c r="AR57" s="144">
        <v>0</v>
      </c>
      <c r="AS57" s="144">
        <v>0</v>
      </c>
      <c r="AT57" s="144">
        <v>0</v>
      </c>
      <c r="AU57" s="144">
        <v>0</v>
      </c>
      <c r="AV57" s="144">
        <v>0</v>
      </c>
      <c r="AW57" s="144">
        <v>0</v>
      </c>
      <c r="AX57" s="143"/>
    </row>
    <row r="58" spans="18:50" x14ac:dyDescent="0.25">
      <c r="R58" s="141">
        <v>3130.370281679619</v>
      </c>
      <c r="S58" s="144">
        <v>0</v>
      </c>
      <c r="T58" s="144">
        <v>0</v>
      </c>
      <c r="U58" s="144">
        <v>0</v>
      </c>
      <c r="V58" s="144">
        <v>0</v>
      </c>
      <c r="W58" s="144">
        <v>0</v>
      </c>
      <c r="X58" s="144">
        <v>0</v>
      </c>
      <c r="Y58" s="144">
        <v>0</v>
      </c>
      <c r="Z58" s="144">
        <v>0</v>
      </c>
      <c r="AA58" s="144">
        <v>0</v>
      </c>
      <c r="AB58" s="144">
        <v>0</v>
      </c>
      <c r="AC58" s="144">
        <v>0</v>
      </c>
      <c r="AD58" s="144">
        <v>0</v>
      </c>
      <c r="AE58" s="144">
        <v>0</v>
      </c>
      <c r="AF58" s="144">
        <v>0</v>
      </c>
      <c r="AG58" s="144">
        <v>0</v>
      </c>
      <c r="AH58" s="144">
        <v>0</v>
      </c>
      <c r="AI58" s="144">
        <v>0</v>
      </c>
      <c r="AJ58" s="144">
        <v>0</v>
      </c>
      <c r="AK58" s="144">
        <v>0</v>
      </c>
      <c r="AL58" s="144">
        <v>0</v>
      </c>
      <c r="AM58" s="144">
        <v>0</v>
      </c>
      <c r="AN58" s="144">
        <v>0</v>
      </c>
      <c r="AO58" s="144">
        <v>0</v>
      </c>
      <c r="AP58" s="144">
        <v>0</v>
      </c>
      <c r="AQ58" s="144">
        <v>0</v>
      </c>
      <c r="AR58" s="144">
        <v>0</v>
      </c>
      <c r="AS58" s="144">
        <v>0</v>
      </c>
      <c r="AT58" s="144">
        <v>0</v>
      </c>
      <c r="AU58" s="144">
        <v>0</v>
      </c>
      <c r="AV58" s="144">
        <v>0</v>
      </c>
      <c r="AW58" s="144">
        <v>0</v>
      </c>
      <c r="AX58" s="143"/>
    </row>
    <row r="59" spans="18:50" x14ac:dyDescent="0.25">
      <c r="R59" s="141">
        <v>3187.2861049828853</v>
      </c>
      <c r="S59" s="144">
        <v>0</v>
      </c>
      <c r="T59" s="144">
        <v>0</v>
      </c>
      <c r="U59" s="144">
        <v>0</v>
      </c>
      <c r="V59" s="144">
        <v>0</v>
      </c>
      <c r="W59" s="144">
        <v>0</v>
      </c>
      <c r="X59" s="144">
        <v>0</v>
      </c>
      <c r="Y59" s="144">
        <v>0</v>
      </c>
      <c r="Z59" s="144">
        <v>0</v>
      </c>
      <c r="AA59" s="144">
        <v>0</v>
      </c>
      <c r="AB59" s="144">
        <v>0</v>
      </c>
      <c r="AC59" s="144">
        <v>0</v>
      </c>
      <c r="AD59" s="144">
        <v>0</v>
      </c>
      <c r="AE59" s="144">
        <v>0</v>
      </c>
      <c r="AF59" s="144">
        <v>0</v>
      </c>
      <c r="AG59" s="144">
        <v>0</v>
      </c>
      <c r="AH59" s="144">
        <v>0</v>
      </c>
      <c r="AI59" s="144">
        <v>0</v>
      </c>
      <c r="AJ59" s="144">
        <v>0</v>
      </c>
      <c r="AK59" s="144">
        <v>0</v>
      </c>
      <c r="AL59" s="144">
        <v>0</v>
      </c>
      <c r="AM59" s="144">
        <v>0</v>
      </c>
      <c r="AN59" s="144">
        <v>0</v>
      </c>
      <c r="AO59" s="144">
        <v>0</v>
      </c>
      <c r="AP59" s="144">
        <v>0</v>
      </c>
      <c r="AQ59" s="144">
        <v>0</v>
      </c>
      <c r="AR59" s="144">
        <v>0</v>
      </c>
      <c r="AS59" s="144">
        <v>0</v>
      </c>
      <c r="AT59" s="144">
        <v>0</v>
      </c>
      <c r="AU59" s="144">
        <v>0</v>
      </c>
      <c r="AV59" s="144">
        <v>0</v>
      </c>
      <c r="AW59" s="144">
        <v>0</v>
      </c>
      <c r="AX59" s="143"/>
    </row>
    <row r="60" spans="18:50" x14ac:dyDescent="0.25">
      <c r="R60" s="141">
        <v>3244.2019282861506</v>
      </c>
      <c r="S60" s="144">
        <v>0</v>
      </c>
      <c r="T60" s="144">
        <v>0</v>
      </c>
      <c r="U60" s="144">
        <v>0</v>
      </c>
      <c r="V60" s="144">
        <v>0</v>
      </c>
      <c r="W60" s="144">
        <v>0</v>
      </c>
      <c r="X60" s="144">
        <v>0</v>
      </c>
      <c r="Y60" s="144">
        <v>0</v>
      </c>
      <c r="Z60" s="144">
        <v>0</v>
      </c>
      <c r="AA60" s="144">
        <v>0</v>
      </c>
      <c r="AB60" s="144">
        <v>0</v>
      </c>
      <c r="AC60" s="144">
        <v>0</v>
      </c>
      <c r="AD60" s="144">
        <v>0</v>
      </c>
      <c r="AE60" s="144">
        <v>0</v>
      </c>
      <c r="AF60" s="144">
        <v>0</v>
      </c>
      <c r="AG60" s="144">
        <v>0</v>
      </c>
      <c r="AH60" s="144">
        <v>0</v>
      </c>
      <c r="AI60" s="144">
        <v>0</v>
      </c>
      <c r="AJ60" s="144">
        <v>0</v>
      </c>
      <c r="AK60" s="144">
        <v>0</v>
      </c>
      <c r="AL60" s="144">
        <v>0</v>
      </c>
      <c r="AM60" s="144">
        <v>0</v>
      </c>
      <c r="AN60" s="144">
        <v>0</v>
      </c>
      <c r="AO60" s="144">
        <v>0</v>
      </c>
      <c r="AP60" s="144">
        <v>0</v>
      </c>
      <c r="AQ60" s="144">
        <v>0</v>
      </c>
      <c r="AR60" s="144">
        <v>0</v>
      </c>
      <c r="AS60" s="144">
        <v>0</v>
      </c>
      <c r="AT60" s="144">
        <v>0</v>
      </c>
      <c r="AU60" s="144">
        <v>0</v>
      </c>
      <c r="AV60" s="144">
        <v>0</v>
      </c>
      <c r="AW60" s="144">
        <v>0</v>
      </c>
      <c r="AX60" s="143"/>
    </row>
    <row r="61" spans="18:50" x14ac:dyDescent="0.25">
      <c r="R61" s="141">
        <v>3301.1177515894169</v>
      </c>
      <c r="S61" s="144">
        <v>0</v>
      </c>
      <c r="T61" s="144">
        <v>0</v>
      </c>
      <c r="U61" s="144">
        <v>0</v>
      </c>
      <c r="V61" s="144">
        <v>0</v>
      </c>
      <c r="W61" s="144">
        <v>0</v>
      </c>
      <c r="X61" s="144">
        <v>0</v>
      </c>
      <c r="Y61" s="144">
        <v>0</v>
      </c>
      <c r="Z61" s="144">
        <v>0</v>
      </c>
      <c r="AA61" s="144">
        <v>0</v>
      </c>
      <c r="AB61" s="144">
        <v>0</v>
      </c>
      <c r="AC61" s="144">
        <v>0</v>
      </c>
      <c r="AD61" s="144">
        <v>0</v>
      </c>
      <c r="AE61" s="144">
        <v>0</v>
      </c>
      <c r="AF61" s="144">
        <v>0</v>
      </c>
      <c r="AG61" s="144">
        <v>0</v>
      </c>
      <c r="AH61" s="144">
        <v>0</v>
      </c>
      <c r="AI61" s="144">
        <v>0</v>
      </c>
      <c r="AJ61" s="144">
        <v>0</v>
      </c>
      <c r="AK61" s="144">
        <v>0</v>
      </c>
      <c r="AL61" s="144">
        <v>0</v>
      </c>
      <c r="AM61" s="144">
        <v>0</v>
      </c>
      <c r="AN61" s="144">
        <v>0</v>
      </c>
      <c r="AO61" s="144">
        <v>0</v>
      </c>
      <c r="AP61" s="144">
        <v>0</v>
      </c>
      <c r="AQ61" s="144">
        <v>0</v>
      </c>
      <c r="AR61" s="144">
        <v>0</v>
      </c>
      <c r="AS61" s="144">
        <v>0</v>
      </c>
      <c r="AT61" s="144">
        <v>0</v>
      </c>
      <c r="AU61" s="144">
        <v>0</v>
      </c>
      <c r="AV61" s="144">
        <v>0</v>
      </c>
      <c r="AW61" s="144">
        <v>0</v>
      </c>
      <c r="AX61" s="143"/>
    </row>
    <row r="62" spans="18:50" x14ac:dyDescent="0.25">
      <c r="R62" s="141">
        <v>3358.0335748926823</v>
      </c>
      <c r="S62" s="144">
        <v>0</v>
      </c>
      <c r="T62" s="144">
        <v>0</v>
      </c>
      <c r="U62" s="144">
        <v>0</v>
      </c>
      <c r="V62" s="144">
        <v>0</v>
      </c>
      <c r="W62" s="144">
        <v>0</v>
      </c>
      <c r="X62" s="144">
        <v>0</v>
      </c>
      <c r="Y62" s="144">
        <v>0</v>
      </c>
      <c r="Z62" s="144">
        <v>0</v>
      </c>
      <c r="AA62" s="144">
        <v>0</v>
      </c>
      <c r="AB62" s="144">
        <v>0</v>
      </c>
      <c r="AC62" s="144">
        <v>0</v>
      </c>
      <c r="AD62" s="144">
        <v>0</v>
      </c>
      <c r="AE62" s="144">
        <v>0</v>
      </c>
      <c r="AF62" s="144">
        <v>0</v>
      </c>
      <c r="AG62" s="144">
        <v>0</v>
      </c>
      <c r="AH62" s="144">
        <v>0</v>
      </c>
      <c r="AI62" s="144">
        <v>0</v>
      </c>
      <c r="AJ62" s="144">
        <v>0</v>
      </c>
      <c r="AK62" s="144">
        <v>0</v>
      </c>
      <c r="AL62" s="144">
        <v>0</v>
      </c>
      <c r="AM62" s="144">
        <v>0</v>
      </c>
      <c r="AN62" s="144">
        <v>0</v>
      </c>
      <c r="AO62" s="144">
        <v>0</v>
      </c>
      <c r="AP62" s="144">
        <v>0</v>
      </c>
      <c r="AQ62" s="144">
        <v>0</v>
      </c>
      <c r="AR62" s="144">
        <v>0</v>
      </c>
      <c r="AS62" s="144">
        <v>0</v>
      </c>
      <c r="AT62" s="144">
        <v>0</v>
      </c>
      <c r="AU62" s="144">
        <v>0</v>
      </c>
      <c r="AV62" s="144">
        <v>0</v>
      </c>
      <c r="AW62" s="144">
        <v>0</v>
      </c>
      <c r="AX62" s="143"/>
    </row>
    <row r="63" spans="18:50" x14ac:dyDescent="0.25">
      <c r="R63" s="141">
        <v>3500</v>
      </c>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3"/>
    </row>
    <row r="64" spans="18:50" x14ac:dyDescent="0.25">
      <c r="R64" s="139"/>
    </row>
    <row r="65" spans="17:50" x14ac:dyDescent="0.25">
      <c r="R65" s="139"/>
    </row>
    <row r="66" spans="17:50" x14ac:dyDescent="0.25">
      <c r="R66" s="139"/>
    </row>
    <row r="67" spans="17:50" x14ac:dyDescent="0.25">
      <c r="R67" s="139"/>
    </row>
    <row r="68" spans="17:50" x14ac:dyDescent="0.25">
      <c r="R68" s="139"/>
    </row>
    <row r="69" spans="17:50" x14ac:dyDescent="0.25">
      <c r="Q69" s="14" t="s">
        <v>355</v>
      </c>
      <c r="R69" s="139"/>
      <c r="S69" t="s">
        <v>288</v>
      </c>
    </row>
    <row r="70" spans="17:50" x14ac:dyDescent="0.25">
      <c r="R70" s="141"/>
      <c r="S70" s="146">
        <f>S2</f>
        <v>0</v>
      </c>
      <c r="T70" s="146">
        <f t="shared" ref="T70:AW70" si="0">T2</f>
        <v>0.54861937440778163</v>
      </c>
      <c r="U70" s="146">
        <f t="shared" si="0"/>
        <v>1.2215284824543391</v>
      </c>
      <c r="V70" s="146">
        <f t="shared" si="0"/>
        <v>1.8944375905008966</v>
      </c>
      <c r="W70" s="146">
        <f t="shared" si="0"/>
        <v>2.5673466985474538</v>
      </c>
      <c r="X70" s="146">
        <f t="shared" si="0"/>
        <v>3.240255806594011</v>
      </c>
      <c r="Y70" s="146">
        <f t="shared" si="0"/>
        <v>3.9131649146405678</v>
      </c>
      <c r="Z70" s="146">
        <f t="shared" si="0"/>
        <v>4.5860740226871259</v>
      </c>
      <c r="AA70" s="146">
        <f t="shared" si="0"/>
        <v>5.2589831307336823</v>
      </c>
      <c r="AB70" s="146">
        <f t="shared" si="0"/>
        <v>5.9298016445403494</v>
      </c>
      <c r="AC70" s="146">
        <f t="shared" si="0"/>
        <v>6.5910900552124971</v>
      </c>
      <c r="AD70" s="146">
        <f t="shared" si="0"/>
        <v>7.2421904817248244</v>
      </c>
      <c r="AE70" s="146">
        <f t="shared" si="0"/>
        <v>7.8831029240773267</v>
      </c>
      <c r="AF70" s="146">
        <f t="shared" si="0"/>
        <v>8.5138273822700103</v>
      </c>
      <c r="AG70" s="146">
        <f t="shared" si="0"/>
        <v>9.1343638563028691</v>
      </c>
      <c r="AH70" s="146">
        <f t="shared" si="0"/>
        <v>9.7447123461759038</v>
      </c>
      <c r="AI70" s="146">
        <f t="shared" si="0"/>
        <v>10.344872851889122</v>
      </c>
      <c r="AJ70" s="146">
        <f t="shared" si="0"/>
        <v>10.934884056391423</v>
      </c>
      <c r="AK70" s="146">
        <f t="shared" si="0"/>
        <v>11.516198138590029</v>
      </c>
      <c r="AL70" s="146">
        <f t="shared" si="0"/>
        <v>12.089552858163778</v>
      </c>
      <c r="AM70" s="146">
        <f t="shared" si="0"/>
        <v>12.654948215112661</v>
      </c>
      <c r="AN70" s="146">
        <f t="shared" si="0"/>
        <v>13.212384209436692</v>
      </c>
      <c r="AO70" s="146">
        <f t="shared" si="0"/>
        <v>13.761860841135855</v>
      </c>
      <c r="AP70" s="146">
        <f t="shared" si="0"/>
        <v>14.303378110210154</v>
      </c>
      <c r="AQ70" s="146">
        <f t="shared" si="0"/>
        <v>14.836936016659598</v>
      </c>
      <c r="AR70" s="146">
        <f t="shared" si="0"/>
        <v>15.362534560484178</v>
      </c>
      <c r="AS70" s="146">
        <f t="shared" si="0"/>
        <v>15.880173741683901</v>
      </c>
      <c r="AT70" s="146">
        <f t="shared" si="0"/>
        <v>16.389853560258761</v>
      </c>
      <c r="AU70" s="146">
        <f t="shared" si="0"/>
        <v>16.891574016208757</v>
      </c>
      <c r="AV70" s="146">
        <f t="shared" si="0"/>
        <v>17.385335109533898</v>
      </c>
      <c r="AW70" s="146">
        <f t="shared" si="0"/>
        <v>17.871136840234175</v>
      </c>
    </row>
    <row r="71" spans="17:50" x14ac:dyDescent="0.25">
      <c r="Q71" t="s">
        <v>287</v>
      </c>
      <c r="R71" s="141"/>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row>
    <row r="72" spans="17:50" x14ac:dyDescent="0.25">
      <c r="R72" s="141">
        <f>R3</f>
        <v>0</v>
      </c>
      <c r="S72" s="142">
        <v>0</v>
      </c>
      <c r="T72" s="142">
        <v>0</v>
      </c>
      <c r="U72" s="142">
        <v>0</v>
      </c>
      <c r="V72" s="142">
        <v>0</v>
      </c>
      <c r="W72" s="142">
        <v>0</v>
      </c>
      <c r="X72" s="142">
        <v>0</v>
      </c>
      <c r="Y72" s="142">
        <v>0</v>
      </c>
      <c r="Z72" s="142">
        <v>0</v>
      </c>
      <c r="AA72" s="142">
        <v>0</v>
      </c>
      <c r="AB72" s="142">
        <v>0</v>
      </c>
      <c r="AC72" s="142">
        <v>0</v>
      </c>
      <c r="AD72" s="142">
        <v>0</v>
      </c>
      <c r="AE72" s="142">
        <v>0</v>
      </c>
      <c r="AF72" s="142">
        <v>0</v>
      </c>
      <c r="AG72" s="142">
        <v>0</v>
      </c>
      <c r="AH72" s="142">
        <v>0</v>
      </c>
      <c r="AI72" s="142">
        <v>0</v>
      </c>
      <c r="AJ72" s="142">
        <v>0</v>
      </c>
      <c r="AK72" s="142">
        <v>0</v>
      </c>
      <c r="AL72" s="142">
        <v>0</v>
      </c>
      <c r="AM72" s="142">
        <v>0</v>
      </c>
      <c r="AN72" s="142">
        <v>0</v>
      </c>
      <c r="AO72" s="142">
        <v>0</v>
      </c>
      <c r="AP72" s="142">
        <v>0</v>
      </c>
      <c r="AQ72" s="142">
        <v>0</v>
      </c>
      <c r="AR72" s="142">
        <v>0</v>
      </c>
      <c r="AS72" s="142">
        <v>0</v>
      </c>
      <c r="AT72" s="142">
        <v>0</v>
      </c>
      <c r="AU72" s="142">
        <v>0</v>
      </c>
      <c r="AV72" s="142">
        <v>0</v>
      </c>
      <c r="AW72" s="142">
        <v>0</v>
      </c>
      <c r="AX72" s="142"/>
    </row>
    <row r="73" spans="17:50" x14ac:dyDescent="0.25">
      <c r="R73" s="141">
        <f t="shared" ref="R73:R132" si="1">R4</f>
        <v>56.915823303265803</v>
      </c>
      <c r="S73" s="142">
        <v>0</v>
      </c>
      <c r="T73" s="142">
        <v>0</v>
      </c>
      <c r="U73" s="142">
        <v>0</v>
      </c>
      <c r="V73" s="142">
        <v>0</v>
      </c>
      <c r="W73" s="142">
        <v>0</v>
      </c>
      <c r="X73" s="142">
        <v>0</v>
      </c>
      <c r="Y73" s="142">
        <v>0</v>
      </c>
      <c r="Z73" s="142">
        <v>0</v>
      </c>
      <c r="AA73" s="142">
        <v>0</v>
      </c>
      <c r="AB73" s="142">
        <v>0</v>
      </c>
      <c r="AC73" s="142">
        <v>0</v>
      </c>
      <c r="AD73" s="142">
        <v>0</v>
      </c>
      <c r="AE73" s="142">
        <v>0</v>
      </c>
      <c r="AF73" s="142">
        <v>0</v>
      </c>
      <c r="AG73" s="142">
        <v>0</v>
      </c>
      <c r="AH73" s="142">
        <v>0</v>
      </c>
      <c r="AI73" s="142">
        <v>0</v>
      </c>
      <c r="AJ73" s="142">
        <v>0</v>
      </c>
      <c r="AK73" s="142">
        <v>0</v>
      </c>
      <c r="AL73" s="142">
        <v>0</v>
      </c>
      <c r="AM73" s="142">
        <v>0</v>
      </c>
      <c r="AN73" s="142">
        <v>0</v>
      </c>
      <c r="AO73" s="142">
        <v>0</v>
      </c>
      <c r="AP73" s="142">
        <v>0</v>
      </c>
      <c r="AQ73" s="142">
        <v>0</v>
      </c>
      <c r="AR73" s="142">
        <v>0</v>
      </c>
      <c r="AS73" s="142">
        <v>0</v>
      </c>
      <c r="AT73" s="142">
        <v>0</v>
      </c>
      <c r="AU73" s="142">
        <v>0</v>
      </c>
      <c r="AV73" s="142">
        <v>0</v>
      </c>
      <c r="AW73" s="142">
        <v>0</v>
      </c>
      <c r="AX73" s="142"/>
    </row>
    <row r="74" spans="17:50" x14ac:dyDescent="0.25">
      <c r="R74" s="141">
        <f t="shared" si="1"/>
        <v>113.83164660653161</v>
      </c>
      <c r="S74" s="142">
        <v>0</v>
      </c>
      <c r="T74" s="142">
        <v>0</v>
      </c>
      <c r="U74" s="142">
        <v>0</v>
      </c>
      <c r="V74" s="142">
        <v>0</v>
      </c>
      <c r="W74" s="142">
        <v>0</v>
      </c>
      <c r="X74" s="142">
        <v>0</v>
      </c>
      <c r="Y74" s="142">
        <v>0</v>
      </c>
      <c r="Z74" s="142">
        <v>0</v>
      </c>
      <c r="AA74" s="142">
        <v>0</v>
      </c>
      <c r="AB74" s="142">
        <v>0</v>
      </c>
      <c r="AC74" s="142">
        <v>0</v>
      </c>
      <c r="AD74" s="142">
        <v>0</v>
      </c>
      <c r="AE74" s="142">
        <v>0</v>
      </c>
      <c r="AF74" s="142">
        <v>0</v>
      </c>
      <c r="AG74" s="142">
        <v>0</v>
      </c>
      <c r="AH74" s="142">
        <v>0</v>
      </c>
      <c r="AI74" s="142">
        <v>0</v>
      </c>
      <c r="AJ74" s="142">
        <v>0</v>
      </c>
      <c r="AK74" s="142">
        <v>0</v>
      </c>
      <c r="AL74" s="142">
        <v>0</v>
      </c>
      <c r="AM74" s="142">
        <v>0</v>
      </c>
      <c r="AN74" s="142">
        <v>0</v>
      </c>
      <c r="AO74" s="142">
        <v>0</v>
      </c>
      <c r="AP74" s="142">
        <v>0</v>
      </c>
      <c r="AQ74" s="142">
        <v>0</v>
      </c>
      <c r="AR74" s="142">
        <v>0</v>
      </c>
      <c r="AS74" s="142">
        <v>0</v>
      </c>
      <c r="AT74" s="142">
        <v>0</v>
      </c>
      <c r="AU74" s="142">
        <v>0</v>
      </c>
      <c r="AV74" s="142">
        <v>0</v>
      </c>
      <c r="AW74" s="142">
        <v>0</v>
      </c>
      <c r="AX74" s="142"/>
    </row>
    <row r="75" spans="17:50" x14ac:dyDescent="0.25">
      <c r="R75" s="141">
        <f t="shared" si="1"/>
        <v>170.74746990979745</v>
      </c>
      <c r="S75" s="142">
        <v>0</v>
      </c>
      <c r="T75" s="142">
        <v>0</v>
      </c>
      <c r="U75" s="142">
        <v>0</v>
      </c>
      <c r="V75" s="142">
        <v>0</v>
      </c>
      <c r="W75" s="142">
        <v>0</v>
      </c>
      <c r="X75" s="142">
        <v>0</v>
      </c>
      <c r="Y75" s="142">
        <v>0</v>
      </c>
      <c r="Z75" s="142">
        <v>0</v>
      </c>
      <c r="AA75" s="142">
        <v>0</v>
      </c>
      <c r="AB75" s="142">
        <v>0</v>
      </c>
      <c r="AC75" s="142">
        <v>0</v>
      </c>
      <c r="AD75" s="142">
        <v>0</v>
      </c>
      <c r="AE75" s="142">
        <v>0</v>
      </c>
      <c r="AF75" s="142">
        <v>0</v>
      </c>
      <c r="AG75" s="142">
        <v>0</v>
      </c>
      <c r="AH75" s="142">
        <v>0</v>
      </c>
      <c r="AI75" s="142">
        <v>0</v>
      </c>
      <c r="AJ75" s="142">
        <v>0</v>
      </c>
      <c r="AK75" s="142">
        <v>0</v>
      </c>
      <c r="AL75" s="142">
        <v>0</v>
      </c>
      <c r="AM75" s="142">
        <v>0</v>
      </c>
      <c r="AN75" s="142">
        <v>0</v>
      </c>
      <c r="AO75" s="142">
        <v>0</v>
      </c>
      <c r="AP75" s="142">
        <v>0</v>
      </c>
      <c r="AQ75" s="142">
        <v>0</v>
      </c>
      <c r="AR75" s="142">
        <v>0</v>
      </c>
      <c r="AS75" s="142">
        <v>0</v>
      </c>
      <c r="AT75" s="142">
        <v>0</v>
      </c>
      <c r="AU75" s="142">
        <v>0</v>
      </c>
      <c r="AV75" s="142">
        <v>0</v>
      </c>
      <c r="AW75" s="142">
        <v>0</v>
      </c>
      <c r="AX75" s="142"/>
    </row>
    <row r="76" spans="17:50" x14ac:dyDescent="0.25">
      <c r="R76" s="141">
        <f t="shared" si="1"/>
        <v>227.66329321306321</v>
      </c>
      <c r="S76" s="142">
        <v>0</v>
      </c>
      <c r="T76" s="142">
        <v>0</v>
      </c>
      <c r="U76" s="142">
        <v>0</v>
      </c>
      <c r="V76" s="142">
        <v>0</v>
      </c>
      <c r="W76" s="142">
        <v>0</v>
      </c>
      <c r="X76" s="142">
        <v>0</v>
      </c>
      <c r="Y76" s="142">
        <v>0</v>
      </c>
      <c r="Z76" s="142">
        <v>0</v>
      </c>
      <c r="AA76" s="142">
        <v>0</v>
      </c>
      <c r="AB76" s="142">
        <v>0</v>
      </c>
      <c r="AC76" s="142">
        <v>0</v>
      </c>
      <c r="AD76" s="142">
        <v>0</v>
      </c>
      <c r="AE76" s="142">
        <v>0</v>
      </c>
      <c r="AF76" s="142">
        <v>0</v>
      </c>
      <c r="AG76" s="142">
        <v>0</v>
      </c>
      <c r="AH76" s="142">
        <v>0</v>
      </c>
      <c r="AI76" s="142">
        <v>0</v>
      </c>
      <c r="AJ76" s="142">
        <v>0</v>
      </c>
      <c r="AK76" s="142">
        <v>0</v>
      </c>
      <c r="AL76" s="142">
        <v>0</v>
      </c>
      <c r="AM76" s="142">
        <v>0</v>
      </c>
      <c r="AN76" s="142">
        <v>0</v>
      </c>
      <c r="AO76" s="142">
        <v>0</v>
      </c>
      <c r="AP76" s="142">
        <v>0</v>
      </c>
      <c r="AQ76" s="142">
        <v>0</v>
      </c>
      <c r="AR76" s="142">
        <v>0</v>
      </c>
      <c r="AS76" s="142">
        <v>0</v>
      </c>
      <c r="AT76" s="142">
        <v>0</v>
      </c>
      <c r="AU76" s="142">
        <v>0</v>
      </c>
      <c r="AV76" s="142">
        <v>0</v>
      </c>
      <c r="AW76" s="142">
        <v>0</v>
      </c>
      <c r="AX76" s="142"/>
    </row>
    <row r="77" spans="17:50" x14ac:dyDescent="0.25">
      <c r="R77" s="141">
        <f t="shared" si="1"/>
        <v>284.57911651632901</v>
      </c>
      <c r="S77" s="142">
        <v>0</v>
      </c>
      <c r="T77" s="142">
        <v>0</v>
      </c>
      <c r="U77" s="142">
        <v>0</v>
      </c>
      <c r="V77" s="142">
        <v>0</v>
      </c>
      <c r="W77" s="142">
        <v>0</v>
      </c>
      <c r="X77" s="142">
        <v>0</v>
      </c>
      <c r="Y77" s="142">
        <v>0</v>
      </c>
      <c r="Z77" s="142">
        <v>0</v>
      </c>
      <c r="AA77" s="142">
        <v>0</v>
      </c>
      <c r="AB77" s="142">
        <v>0</v>
      </c>
      <c r="AC77" s="142">
        <v>0</v>
      </c>
      <c r="AD77" s="142">
        <v>0</v>
      </c>
      <c r="AE77" s="142">
        <v>0</v>
      </c>
      <c r="AF77" s="142">
        <v>0</v>
      </c>
      <c r="AG77" s="142">
        <v>0</v>
      </c>
      <c r="AH77" s="142">
        <v>0</v>
      </c>
      <c r="AI77" s="142">
        <v>0</v>
      </c>
      <c r="AJ77" s="142">
        <v>0</v>
      </c>
      <c r="AK77" s="142">
        <v>0</v>
      </c>
      <c r="AL77" s="142">
        <v>0</v>
      </c>
      <c r="AM77" s="142">
        <v>0</v>
      </c>
      <c r="AN77" s="142">
        <v>0</v>
      </c>
      <c r="AO77" s="142">
        <v>0</v>
      </c>
      <c r="AP77" s="142">
        <v>0</v>
      </c>
      <c r="AQ77" s="142">
        <v>0</v>
      </c>
      <c r="AR77" s="142">
        <v>0</v>
      </c>
      <c r="AS77" s="142">
        <v>0</v>
      </c>
      <c r="AT77" s="142">
        <v>0</v>
      </c>
      <c r="AU77" s="142">
        <v>0</v>
      </c>
      <c r="AV77" s="142">
        <v>0</v>
      </c>
      <c r="AW77" s="142">
        <v>0</v>
      </c>
      <c r="AX77" s="142"/>
    </row>
    <row r="78" spans="17:50" x14ac:dyDescent="0.25">
      <c r="R78" s="141">
        <f t="shared" si="1"/>
        <v>341.49493981959489</v>
      </c>
      <c r="S78" s="142">
        <v>0</v>
      </c>
      <c r="T78" s="142">
        <v>0</v>
      </c>
      <c r="U78" s="142">
        <v>0</v>
      </c>
      <c r="V78" s="142">
        <v>0</v>
      </c>
      <c r="W78" s="142">
        <v>0</v>
      </c>
      <c r="X78" s="142">
        <v>0</v>
      </c>
      <c r="Y78" s="142">
        <v>0</v>
      </c>
      <c r="Z78" s="142">
        <v>0</v>
      </c>
      <c r="AA78" s="142">
        <v>0</v>
      </c>
      <c r="AB78" s="142">
        <v>0</v>
      </c>
      <c r="AC78" s="142">
        <v>0</v>
      </c>
      <c r="AD78" s="142">
        <v>0</v>
      </c>
      <c r="AE78" s="142">
        <v>0</v>
      </c>
      <c r="AF78" s="142">
        <v>0</v>
      </c>
      <c r="AG78" s="142">
        <v>0</v>
      </c>
      <c r="AH78" s="142">
        <v>0</v>
      </c>
      <c r="AI78" s="142">
        <v>0</v>
      </c>
      <c r="AJ78" s="142">
        <v>0</v>
      </c>
      <c r="AK78" s="142">
        <v>0</v>
      </c>
      <c r="AL78" s="142">
        <v>0</v>
      </c>
      <c r="AM78" s="142">
        <v>0</v>
      </c>
      <c r="AN78" s="142">
        <v>0</v>
      </c>
      <c r="AO78" s="142">
        <v>0</v>
      </c>
      <c r="AP78" s="142">
        <v>0</v>
      </c>
      <c r="AQ78" s="142">
        <v>0</v>
      </c>
      <c r="AR78" s="142">
        <v>0</v>
      </c>
      <c r="AS78" s="142">
        <v>0</v>
      </c>
      <c r="AT78" s="142">
        <v>0</v>
      </c>
      <c r="AU78" s="142">
        <v>0</v>
      </c>
      <c r="AV78" s="142">
        <v>0</v>
      </c>
      <c r="AW78" s="142">
        <v>0</v>
      </c>
      <c r="AX78" s="140"/>
    </row>
    <row r="79" spans="17:50" x14ac:dyDescent="0.25">
      <c r="R79" s="141">
        <f t="shared" si="1"/>
        <v>398.41076312286066</v>
      </c>
      <c r="S79" s="142">
        <v>0</v>
      </c>
      <c r="T79" s="142">
        <v>0</v>
      </c>
      <c r="U79" s="142">
        <v>0</v>
      </c>
      <c r="V79" s="142">
        <v>0</v>
      </c>
      <c r="W79" s="142">
        <v>0</v>
      </c>
      <c r="X79" s="142">
        <v>0</v>
      </c>
      <c r="Y79" s="142">
        <v>0</v>
      </c>
      <c r="Z79" s="142">
        <v>0</v>
      </c>
      <c r="AA79" s="142">
        <v>0</v>
      </c>
      <c r="AB79" s="142">
        <v>0</v>
      </c>
      <c r="AC79" s="142">
        <v>0</v>
      </c>
      <c r="AD79" s="142">
        <v>0</v>
      </c>
      <c r="AE79" s="142">
        <v>0</v>
      </c>
      <c r="AF79" s="142">
        <v>0</v>
      </c>
      <c r="AG79" s="142">
        <v>0</v>
      </c>
      <c r="AH79" s="142">
        <v>0</v>
      </c>
      <c r="AI79" s="142">
        <v>0</v>
      </c>
      <c r="AJ79" s="142">
        <v>0</v>
      </c>
      <c r="AK79" s="142">
        <v>0</v>
      </c>
      <c r="AL79" s="142">
        <v>0</v>
      </c>
      <c r="AM79" s="142">
        <v>0</v>
      </c>
      <c r="AN79" s="142">
        <v>0</v>
      </c>
      <c r="AO79" s="142">
        <v>0</v>
      </c>
      <c r="AP79" s="142">
        <v>0</v>
      </c>
      <c r="AQ79" s="142">
        <v>0</v>
      </c>
      <c r="AR79" s="142">
        <v>0</v>
      </c>
      <c r="AS79" s="142">
        <v>0</v>
      </c>
      <c r="AT79" s="142">
        <v>0</v>
      </c>
      <c r="AU79" s="142">
        <v>0</v>
      </c>
      <c r="AV79" s="142">
        <v>0</v>
      </c>
      <c r="AW79" s="142">
        <v>0</v>
      </c>
      <c r="AX79" s="140"/>
    </row>
    <row r="80" spans="17:50" x14ac:dyDescent="0.25">
      <c r="R80" s="141">
        <f t="shared" si="1"/>
        <v>455.32658642612643</v>
      </c>
      <c r="S80" s="142">
        <v>0</v>
      </c>
      <c r="T80" s="142">
        <v>0</v>
      </c>
      <c r="U80" s="142">
        <v>0</v>
      </c>
      <c r="V80" s="142">
        <v>0</v>
      </c>
      <c r="W80" s="142">
        <v>0</v>
      </c>
      <c r="X80" s="142">
        <v>0</v>
      </c>
      <c r="Y80" s="142">
        <v>0</v>
      </c>
      <c r="Z80" s="142">
        <v>0</v>
      </c>
      <c r="AA80" s="142">
        <v>0</v>
      </c>
      <c r="AB80" s="142">
        <v>0</v>
      </c>
      <c r="AC80" s="142">
        <v>0</v>
      </c>
      <c r="AD80" s="142">
        <v>0</v>
      </c>
      <c r="AE80" s="142">
        <v>0</v>
      </c>
      <c r="AF80" s="142">
        <v>0</v>
      </c>
      <c r="AG80" s="142">
        <v>0</v>
      </c>
      <c r="AH80" s="142">
        <v>0</v>
      </c>
      <c r="AI80" s="142">
        <v>0</v>
      </c>
      <c r="AJ80" s="142">
        <v>0</v>
      </c>
      <c r="AK80" s="142">
        <v>0</v>
      </c>
      <c r="AL80" s="142">
        <v>0</v>
      </c>
      <c r="AM80" s="142">
        <v>0</v>
      </c>
      <c r="AN80" s="142">
        <v>0</v>
      </c>
      <c r="AO80" s="142">
        <v>0</v>
      </c>
      <c r="AP80" s="142">
        <v>0</v>
      </c>
      <c r="AQ80" s="142">
        <v>0</v>
      </c>
      <c r="AR80" s="142">
        <v>0</v>
      </c>
      <c r="AS80" s="142">
        <v>0</v>
      </c>
      <c r="AT80" s="142">
        <v>0</v>
      </c>
      <c r="AU80" s="142">
        <v>0</v>
      </c>
      <c r="AV80" s="142">
        <v>0</v>
      </c>
      <c r="AW80" s="142">
        <v>0</v>
      </c>
      <c r="AX80" s="140"/>
    </row>
    <row r="81" spans="18:50" x14ac:dyDescent="0.25">
      <c r="R81" s="141">
        <f t="shared" si="1"/>
        <v>512.24240972939231</v>
      </c>
      <c r="S81" s="142">
        <v>0</v>
      </c>
      <c r="T81" s="142">
        <v>0</v>
      </c>
      <c r="U81" s="142">
        <v>0</v>
      </c>
      <c r="V81" s="142">
        <v>0</v>
      </c>
      <c r="W81" s="142">
        <v>0</v>
      </c>
      <c r="X81" s="142">
        <v>0</v>
      </c>
      <c r="Y81" s="142">
        <v>0</v>
      </c>
      <c r="Z81" s="142">
        <v>0</v>
      </c>
      <c r="AA81" s="142">
        <v>0</v>
      </c>
      <c r="AB81" s="142">
        <v>0</v>
      </c>
      <c r="AC81" s="142">
        <v>0</v>
      </c>
      <c r="AD81" s="142">
        <v>0</v>
      </c>
      <c r="AE81" s="142">
        <v>0</v>
      </c>
      <c r="AF81" s="142">
        <v>0</v>
      </c>
      <c r="AG81" s="142">
        <v>0</v>
      </c>
      <c r="AH81" s="142">
        <v>0</v>
      </c>
      <c r="AI81" s="142">
        <v>0</v>
      </c>
      <c r="AJ81" s="142">
        <v>0</v>
      </c>
      <c r="AK81" s="142">
        <v>0</v>
      </c>
      <c r="AL81" s="142">
        <v>0</v>
      </c>
      <c r="AM81" s="142">
        <v>0</v>
      </c>
      <c r="AN81" s="142">
        <v>0</v>
      </c>
      <c r="AO81" s="142">
        <v>0</v>
      </c>
      <c r="AP81" s="142">
        <v>0</v>
      </c>
      <c r="AQ81" s="142">
        <v>0</v>
      </c>
      <c r="AR81" s="142">
        <v>0</v>
      </c>
      <c r="AS81" s="142">
        <v>0</v>
      </c>
      <c r="AT81" s="142">
        <v>0</v>
      </c>
      <c r="AU81" s="142">
        <v>0</v>
      </c>
      <c r="AV81" s="142">
        <v>0</v>
      </c>
      <c r="AW81" s="142">
        <v>0</v>
      </c>
      <c r="AX81" s="140"/>
    </row>
    <row r="82" spans="18:50" x14ac:dyDescent="0.25">
      <c r="R82" s="141">
        <f t="shared" si="1"/>
        <v>569.15823303265802</v>
      </c>
      <c r="S82" s="142">
        <v>0</v>
      </c>
      <c r="T82" s="142">
        <v>0</v>
      </c>
      <c r="U82" s="142">
        <v>0</v>
      </c>
      <c r="V82" s="142">
        <v>0</v>
      </c>
      <c r="W82" s="142">
        <v>0</v>
      </c>
      <c r="X82" s="142">
        <v>0</v>
      </c>
      <c r="Y82" s="142">
        <v>0</v>
      </c>
      <c r="Z82" s="142">
        <v>0</v>
      </c>
      <c r="AA82" s="142">
        <v>0</v>
      </c>
      <c r="AB82" s="142">
        <v>0</v>
      </c>
      <c r="AC82" s="142">
        <v>0</v>
      </c>
      <c r="AD82" s="142">
        <v>0</v>
      </c>
      <c r="AE82" s="142">
        <v>0</v>
      </c>
      <c r="AF82" s="142">
        <v>0</v>
      </c>
      <c r="AG82" s="142">
        <v>0</v>
      </c>
      <c r="AH82" s="142">
        <v>0</v>
      </c>
      <c r="AI82" s="142">
        <v>0</v>
      </c>
      <c r="AJ82" s="142">
        <v>0</v>
      </c>
      <c r="AK82" s="142">
        <v>0</v>
      </c>
      <c r="AL82" s="142">
        <v>0</v>
      </c>
      <c r="AM82" s="142">
        <v>0</v>
      </c>
      <c r="AN82" s="142">
        <v>0</v>
      </c>
      <c r="AO82" s="142">
        <v>0</v>
      </c>
      <c r="AP82" s="142">
        <v>0</v>
      </c>
      <c r="AQ82" s="142">
        <v>0</v>
      </c>
      <c r="AR82" s="142">
        <v>0</v>
      </c>
      <c r="AS82" s="142">
        <v>0</v>
      </c>
      <c r="AT82" s="142">
        <v>0</v>
      </c>
      <c r="AU82" s="142">
        <v>0</v>
      </c>
      <c r="AV82" s="142">
        <v>0</v>
      </c>
      <c r="AW82" s="142">
        <v>0</v>
      </c>
      <c r="AX82" s="140"/>
    </row>
    <row r="83" spans="18:50" x14ac:dyDescent="0.25">
      <c r="R83" s="141">
        <f t="shared" si="1"/>
        <v>626.07405633592384</v>
      </c>
      <c r="S83" s="142">
        <v>0</v>
      </c>
      <c r="T83" s="142">
        <v>0</v>
      </c>
      <c r="U83" s="142">
        <v>0</v>
      </c>
      <c r="V83" s="142">
        <v>0</v>
      </c>
      <c r="W83" s="142">
        <v>0</v>
      </c>
      <c r="X83" s="142">
        <v>0</v>
      </c>
      <c r="Y83" s="142">
        <v>0</v>
      </c>
      <c r="Z83" s="142">
        <v>0</v>
      </c>
      <c r="AA83" s="142">
        <v>0</v>
      </c>
      <c r="AB83" s="142">
        <v>0</v>
      </c>
      <c r="AC83" s="142">
        <v>0</v>
      </c>
      <c r="AD83" s="142">
        <v>0</v>
      </c>
      <c r="AE83" s="142">
        <v>0</v>
      </c>
      <c r="AF83" s="142">
        <v>0</v>
      </c>
      <c r="AG83" s="142">
        <v>0</v>
      </c>
      <c r="AH83" s="142">
        <v>0</v>
      </c>
      <c r="AI83" s="142">
        <v>0</v>
      </c>
      <c r="AJ83" s="142">
        <v>0</v>
      </c>
      <c r="AK83" s="142">
        <v>0</v>
      </c>
      <c r="AL83" s="142">
        <v>0</v>
      </c>
      <c r="AM83" s="142">
        <v>0</v>
      </c>
      <c r="AN83" s="142">
        <v>0</v>
      </c>
      <c r="AO83" s="142">
        <v>0</v>
      </c>
      <c r="AP83" s="142">
        <v>0</v>
      </c>
      <c r="AQ83" s="142">
        <v>0</v>
      </c>
      <c r="AR83" s="142">
        <v>0</v>
      </c>
      <c r="AS83" s="142">
        <v>0</v>
      </c>
      <c r="AT83" s="142">
        <v>0</v>
      </c>
      <c r="AU83" s="142">
        <v>0</v>
      </c>
      <c r="AV83" s="142">
        <v>0</v>
      </c>
      <c r="AW83" s="142">
        <v>0</v>
      </c>
      <c r="AX83" s="140"/>
    </row>
    <row r="84" spans="18:50" x14ac:dyDescent="0.25">
      <c r="R84" s="141">
        <f t="shared" si="1"/>
        <v>682.98987963918978</v>
      </c>
      <c r="S84" s="142">
        <v>0</v>
      </c>
      <c r="T84" s="142">
        <v>0</v>
      </c>
      <c r="U84" s="142">
        <v>0</v>
      </c>
      <c r="V84" s="142">
        <v>0</v>
      </c>
      <c r="W84" s="142">
        <v>0</v>
      </c>
      <c r="X84" s="142">
        <v>0</v>
      </c>
      <c r="Y84" s="142">
        <v>0</v>
      </c>
      <c r="Z84" s="142">
        <v>0</v>
      </c>
      <c r="AA84" s="142">
        <v>0</v>
      </c>
      <c r="AB84" s="142">
        <v>0</v>
      </c>
      <c r="AC84" s="142">
        <v>0</v>
      </c>
      <c r="AD84" s="142">
        <v>0</v>
      </c>
      <c r="AE84" s="142">
        <v>0</v>
      </c>
      <c r="AF84" s="142">
        <v>0</v>
      </c>
      <c r="AG84" s="142">
        <v>0</v>
      </c>
      <c r="AH84" s="142">
        <v>0</v>
      </c>
      <c r="AI84" s="142">
        <v>0</v>
      </c>
      <c r="AJ84" s="142">
        <v>0</v>
      </c>
      <c r="AK84" s="142">
        <v>0</v>
      </c>
      <c r="AL84" s="142">
        <v>0</v>
      </c>
      <c r="AM84" s="142">
        <v>0</v>
      </c>
      <c r="AN84" s="142">
        <v>0</v>
      </c>
      <c r="AO84" s="142">
        <v>0</v>
      </c>
      <c r="AP84" s="142">
        <v>0</v>
      </c>
      <c r="AQ84" s="142">
        <v>0</v>
      </c>
      <c r="AR84" s="142">
        <v>0</v>
      </c>
      <c r="AS84" s="142">
        <v>0</v>
      </c>
      <c r="AT84" s="142">
        <v>0</v>
      </c>
      <c r="AU84" s="142">
        <v>0</v>
      </c>
      <c r="AV84" s="142">
        <v>0</v>
      </c>
      <c r="AW84" s="142">
        <v>0</v>
      </c>
      <c r="AX84" s="140"/>
    </row>
    <row r="85" spans="18:50" x14ac:dyDescent="0.25">
      <c r="R85" s="141">
        <f t="shared" si="1"/>
        <v>739.90570294245549</v>
      </c>
      <c r="S85" s="142">
        <v>0</v>
      </c>
      <c r="T85" s="142">
        <v>0</v>
      </c>
      <c r="U85" s="142">
        <v>0</v>
      </c>
      <c r="V85" s="142">
        <v>0</v>
      </c>
      <c r="W85" s="142">
        <v>0</v>
      </c>
      <c r="X85" s="142">
        <v>0</v>
      </c>
      <c r="Y85" s="142">
        <v>0</v>
      </c>
      <c r="Z85" s="142">
        <v>0</v>
      </c>
      <c r="AA85" s="142">
        <v>0</v>
      </c>
      <c r="AB85" s="142">
        <v>0</v>
      </c>
      <c r="AC85" s="142">
        <v>0</v>
      </c>
      <c r="AD85" s="142">
        <v>0</v>
      </c>
      <c r="AE85" s="142">
        <v>0</v>
      </c>
      <c r="AF85" s="142">
        <v>0</v>
      </c>
      <c r="AG85" s="142">
        <v>0</v>
      </c>
      <c r="AH85" s="142">
        <v>0</v>
      </c>
      <c r="AI85" s="142">
        <v>0</v>
      </c>
      <c r="AJ85" s="142">
        <v>0</v>
      </c>
      <c r="AK85" s="142">
        <v>0</v>
      </c>
      <c r="AL85" s="142">
        <v>0</v>
      </c>
      <c r="AM85" s="142">
        <v>0</v>
      </c>
      <c r="AN85" s="142">
        <v>0</v>
      </c>
      <c r="AO85" s="142">
        <v>0</v>
      </c>
      <c r="AP85" s="142">
        <v>0</v>
      </c>
      <c r="AQ85" s="142">
        <v>0</v>
      </c>
      <c r="AR85" s="142">
        <v>0</v>
      </c>
      <c r="AS85" s="142">
        <v>0</v>
      </c>
      <c r="AT85" s="142">
        <v>0</v>
      </c>
      <c r="AU85" s="142">
        <v>0</v>
      </c>
      <c r="AV85" s="142">
        <v>0</v>
      </c>
      <c r="AW85" s="142">
        <v>0</v>
      </c>
      <c r="AX85" s="140"/>
    </row>
    <row r="86" spans="18:50" x14ac:dyDescent="0.25">
      <c r="R86" s="141">
        <f t="shared" si="1"/>
        <v>796.82152624572132</v>
      </c>
      <c r="S86" s="142">
        <v>0</v>
      </c>
      <c r="T86" s="142">
        <v>0</v>
      </c>
      <c r="U86" s="142">
        <v>0</v>
      </c>
      <c r="V86" s="142">
        <v>0</v>
      </c>
      <c r="W86" s="142">
        <v>0</v>
      </c>
      <c r="X86" s="142">
        <v>0</v>
      </c>
      <c r="Y86" s="142">
        <v>0</v>
      </c>
      <c r="Z86" s="142">
        <v>0</v>
      </c>
      <c r="AA86" s="142">
        <v>0</v>
      </c>
      <c r="AB86" s="142">
        <v>0</v>
      </c>
      <c r="AC86" s="142">
        <v>0</v>
      </c>
      <c r="AD86" s="142">
        <v>0</v>
      </c>
      <c r="AE86" s="142">
        <v>0</v>
      </c>
      <c r="AF86" s="142">
        <v>0</v>
      </c>
      <c r="AG86" s="142">
        <v>0</v>
      </c>
      <c r="AH86" s="142">
        <v>0</v>
      </c>
      <c r="AI86" s="142">
        <v>0</v>
      </c>
      <c r="AJ86" s="142">
        <v>0</v>
      </c>
      <c r="AK86" s="142">
        <v>0</v>
      </c>
      <c r="AL86" s="142">
        <v>0</v>
      </c>
      <c r="AM86" s="142">
        <v>0</v>
      </c>
      <c r="AN86" s="142">
        <v>0</v>
      </c>
      <c r="AO86" s="142">
        <v>0</v>
      </c>
      <c r="AP86" s="142">
        <v>0</v>
      </c>
      <c r="AQ86" s="142">
        <v>0</v>
      </c>
      <c r="AR86" s="142">
        <v>0</v>
      </c>
      <c r="AS86" s="142">
        <v>0</v>
      </c>
      <c r="AT86" s="142">
        <v>0</v>
      </c>
      <c r="AU86" s="142">
        <v>0</v>
      </c>
      <c r="AV86" s="142">
        <v>0</v>
      </c>
      <c r="AW86" s="142">
        <v>0</v>
      </c>
      <c r="AX86" s="140"/>
    </row>
    <row r="87" spans="18:50" x14ac:dyDescent="0.25">
      <c r="R87" s="141">
        <f t="shared" si="1"/>
        <v>853.73734954898703</v>
      </c>
      <c r="S87" s="142">
        <v>0</v>
      </c>
      <c r="T87" s="142">
        <v>0</v>
      </c>
      <c r="U87" s="142">
        <v>0</v>
      </c>
      <c r="V87" s="142">
        <v>0</v>
      </c>
      <c r="W87" s="142">
        <v>0</v>
      </c>
      <c r="X87" s="142">
        <v>0</v>
      </c>
      <c r="Y87" s="142">
        <v>0</v>
      </c>
      <c r="Z87" s="142">
        <v>0</v>
      </c>
      <c r="AA87" s="142">
        <v>0</v>
      </c>
      <c r="AB87" s="142">
        <v>0</v>
      </c>
      <c r="AC87" s="142">
        <v>0</v>
      </c>
      <c r="AD87" s="142">
        <v>0</v>
      </c>
      <c r="AE87" s="142">
        <v>0</v>
      </c>
      <c r="AF87" s="142">
        <v>0</v>
      </c>
      <c r="AG87" s="142">
        <v>0</v>
      </c>
      <c r="AH87" s="142">
        <v>0</v>
      </c>
      <c r="AI87" s="142">
        <v>0</v>
      </c>
      <c r="AJ87" s="142">
        <v>0</v>
      </c>
      <c r="AK87" s="142">
        <v>0</v>
      </c>
      <c r="AL87" s="142">
        <v>0</v>
      </c>
      <c r="AM87" s="142">
        <v>0</v>
      </c>
      <c r="AN87" s="142">
        <v>0</v>
      </c>
      <c r="AO87" s="142">
        <v>0</v>
      </c>
      <c r="AP87" s="142">
        <v>0</v>
      </c>
      <c r="AQ87" s="142">
        <v>0</v>
      </c>
      <c r="AR87" s="142">
        <v>0</v>
      </c>
      <c r="AS87" s="142">
        <v>0</v>
      </c>
      <c r="AT87" s="142">
        <v>0</v>
      </c>
      <c r="AU87" s="142">
        <v>0</v>
      </c>
      <c r="AV87" s="142">
        <v>0</v>
      </c>
      <c r="AW87" s="142">
        <v>0</v>
      </c>
      <c r="AX87" s="140"/>
    </row>
    <row r="88" spans="18:50" x14ac:dyDescent="0.25">
      <c r="R88" s="141">
        <f t="shared" si="1"/>
        <v>910.65317285225285</v>
      </c>
      <c r="S88" s="142">
        <v>0</v>
      </c>
      <c r="T88" s="142">
        <v>0</v>
      </c>
      <c r="U88" s="142">
        <v>0</v>
      </c>
      <c r="V88" s="142">
        <v>0</v>
      </c>
      <c r="W88" s="142">
        <v>0</v>
      </c>
      <c r="X88" s="142">
        <v>0</v>
      </c>
      <c r="Y88" s="142">
        <v>0</v>
      </c>
      <c r="Z88" s="142">
        <v>0</v>
      </c>
      <c r="AA88" s="142">
        <v>0</v>
      </c>
      <c r="AB88" s="142">
        <v>0</v>
      </c>
      <c r="AC88" s="142">
        <v>0</v>
      </c>
      <c r="AD88" s="142">
        <v>0</v>
      </c>
      <c r="AE88" s="142">
        <v>0</v>
      </c>
      <c r="AF88" s="142">
        <v>0</v>
      </c>
      <c r="AG88" s="142">
        <v>0</v>
      </c>
      <c r="AH88" s="142">
        <v>0</v>
      </c>
      <c r="AI88" s="142">
        <v>0</v>
      </c>
      <c r="AJ88" s="142">
        <v>0</v>
      </c>
      <c r="AK88" s="142">
        <v>0</v>
      </c>
      <c r="AL88" s="142">
        <v>0</v>
      </c>
      <c r="AM88" s="142">
        <v>0</v>
      </c>
      <c r="AN88" s="142">
        <v>0</v>
      </c>
      <c r="AO88" s="142">
        <v>0</v>
      </c>
      <c r="AP88" s="142">
        <v>0</v>
      </c>
      <c r="AQ88" s="142">
        <v>0</v>
      </c>
      <c r="AR88" s="142">
        <v>0</v>
      </c>
      <c r="AS88" s="142">
        <v>0</v>
      </c>
      <c r="AT88" s="142">
        <v>0</v>
      </c>
      <c r="AU88" s="142">
        <v>0</v>
      </c>
      <c r="AV88" s="142">
        <v>0</v>
      </c>
      <c r="AW88" s="142">
        <v>0</v>
      </c>
      <c r="AX88" s="140"/>
    </row>
    <row r="89" spans="18:50" x14ac:dyDescent="0.25">
      <c r="R89" s="141">
        <f t="shared" si="1"/>
        <v>967.56899615551868</v>
      </c>
      <c r="S89" s="142">
        <v>0</v>
      </c>
      <c r="T89" s="142">
        <v>0</v>
      </c>
      <c r="U89" s="142">
        <v>0</v>
      </c>
      <c r="V89" s="142">
        <v>0</v>
      </c>
      <c r="W89" s="142">
        <v>0</v>
      </c>
      <c r="X89" s="142">
        <v>0</v>
      </c>
      <c r="Y89" s="142">
        <v>0</v>
      </c>
      <c r="Z89" s="142">
        <v>0</v>
      </c>
      <c r="AA89" s="142">
        <v>0</v>
      </c>
      <c r="AB89" s="142">
        <v>0</v>
      </c>
      <c r="AC89" s="142">
        <v>0</v>
      </c>
      <c r="AD89" s="142">
        <v>0</v>
      </c>
      <c r="AE89" s="142">
        <v>0</v>
      </c>
      <c r="AF89" s="142">
        <v>0</v>
      </c>
      <c r="AG89" s="142">
        <v>0</v>
      </c>
      <c r="AH89" s="142">
        <v>0</v>
      </c>
      <c r="AI89" s="142">
        <v>0</v>
      </c>
      <c r="AJ89" s="142">
        <v>0</v>
      </c>
      <c r="AK89" s="142">
        <v>0</v>
      </c>
      <c r="AL89" s="142">
        <v>0</v>
      </c>
      <c r="AM89" s="142">
        <v>0</v>
      </c>
      <c r="AN89" s="142">
        <v>0</v>
      </c>
      <c r="AO89" s="142">
        <v>0</v>
      </c>
      <c r="AP89" s="142">
        <v>0</v>
      </c>
      <c r="AQ89" s="142">
        <v>0</v>
      </c>
      <c r="AR89" s="142">
        <v>0</v>
      </c>
      <c r="AS89" s="142">
        <v>0</v>
      </c>
      <c r="AT89" s="142">
        <v>0</v>
      </c>
      <c r="AU89" s="142">
        <v>0</v>
      </c>
      <c r="AV89" s="142">
        <v>0</v>
      </c>
      <c r="AW89" s="142">
        <v>0</v>
      </c>
      <c r="AX89" s="140"/>
    </row>
    <row r="90" spans="18:50" x14ac:dyDescent="0.25">
      <c r="R90" s="141">
        <f t="shared" si="1"/>
        <v>1024.4848194587846</v>
      </c>
      <c r="S90" s="142">
        <v>0</v>
      </c>
      <c r="T90" s="142">
        <v>0</v>
      </c>
      <c r="U90" s="142">
        <v>0</v>
      </c>
      <c r="V90" s="142">
        <v>0</v>
      </c>
      <c r="W90" s="142">
        <v>0</v>
      </c>
      <c r="X90" s="142">
        <v>0</v>
      </c>
      <c r="Y90" s="142">
        <v>0</v>
      </c>
      <c r="Z90" s="142">
        <v>0</v>
      </c>
      <c r="AA90" s="142">
        <v>0</v>
      </c>
      <c r="AB90" s="142">
        <v>0</v>
      </c>
      <c r="AC90" s="142">
        <v>0</v>
      </c>
      <c r="AD90" s="142">
        <v>0</v>
      </c>
      <c r="AE90" s="142">
        <v>0</v>
      </c>
      <c r="AF90" s="142">
        <v>0</v>
      </c>
      <c r="AG90" s="142">
        <v>0</v>
      </c>
      <c r="AH90" s="142">
        <v>0</v>
      </c>
      <c r="AI90" s="142">
        <v>0</v>
      </c>
      <c r="AJ90" s="142">
        <v>0</v>
      </c>
      <c r="AK90" s="142">
        <v>0</v>
      </c>
      <c r="AL90" s="142">
        <v>0</v>
      </c>
      <c r="AM90" s="142">
        <v>0</v>
      </c>
      <c r="AN90" s="142">
        <v>0</v>
      </c>
      <c r="AO90" s="142">
        <v>0</v>
      </c>
      <c r="AP90" s="142">
        <v>0</v>
      </c>
      <c r="AQ90" s="142">
        <v>0</v>
      </c>
      <c r="AR90" s="142">
        <v>0</v>
      </c>
      <c r="AS90" s="142">
        <v>0</v>
      </c>
      <c r="AT90" s="142">
        <v>0</v>
      </c>
      <c r="AU90" s="142">
        <v>0</v>
      </c>
      <c r="AV90" s="142">
        <v>0</v>
      </c>
      <c r="AW90" s="142">
        <v>0</v>
      </c>
      <c r="AX90" s="140"/>
    </row>
    <row r="91" spans="18:50" x14ac:dyDescent="0.25">
      <c r="R91" s="141">
        <f t="shared" si="1"/>
        <v>1081.4006427620504</v>
      </c>
      <c r="S91" s="142">
        <v>0</v>
      </c>
      <c r="T91" s="142">
        <v>0</v>
      </c>
      <c r="U91" s="142">
        <v>0</v>
      </c>
      <c r="V91" s="142">
        <v>0</v>
      </c>
      <c r="W91" s="142">
        <v>0</v>
      </c>
      <c r="X91" s="142">
        <v>0</v>
      </c>
      <c r="Y91" s="142">
        <v>0</v>
      </c>
      <c r="Z91" s="142">
        <v>0</v>
      </c>
      <c r="AA91" s="142">
        <v>0</v>
      </c>
      <c r="AB91" s="142">
        <v>0</v>
      </c>
      <c r="AC91" s="142">
        <v>0</v>
      </c>
      <c r="AD91" s="142">
        <v>0</v>
      </c>
      <c r="AE91" s="142">
        <v>0</v>
      </c>
      <c r="AF91" s="142">
        <v>0</v>
      </c>
      <c r="AG91" s="142">
        <v>0</v>
      </c>
      <c r="AH91" s="142">
        <v>0</v>
      </c>
      <c r="AI91" s="142">
        <v>0</v>
      </c>
      <c r="AJ91" s="142">
        <v>0</v>
      </c>
      <c r="AK91" s="142">
        <v>0</v>
      </c>
      <c r="AL91" s="142">
        <v>0</v>
      </c>
      <c r="AM91" s="142">
        <v>0</v>
      </c>
      <c r="AN91" s="142">
        <v>0</v>
      </c>
      <c r="AO91" s="142">
        <v>0</v>
      </c>
      <c r="AP91" s="142">
        <v>0</v>
      </c>
      <c r="AQ91" s="142">
        <v>0</v>
      </c>
      <c r="AR91" s="142">
        <v>0</v>
      </c>
      <c r="AS91" s="142">
        <v>0</v>
      </c>
      <c r="AT91" s="142">
        <v>0</v>
      </c>
      <c r="AU91" s="142">
        <v>0</v>
      </c>
      <c r="AV91" s="142">
        <v>0</v>
      </c>
      <c r="AW91" s="142">
        <v>0</v>
      </c>
      <c r="AX91" s="140"/>
    </row>
    <row r="92" spans="18:50" x14ac:dyDescent="0.25">
      <c r="R92" s="141">
        <f t="shared" si="1"/>
        <v>1138.316466065316</v>
      </c>
      <c r="S92" s="142">
        <v>0</v>
      </c>
      <c r="T92" s="142">
        <v>0</v>
      </c>
      <c r="U92" s="142">
        <v>0</v>
      </c>
      <c r="V92" s="142">
        <v>0</v>
      </c>
      <c r="W92" s="142">
        <v>0</v>
      </c>
      <c r="X92" s="142">
        <v>0</v>
      </c>
      <c r="Y92" s="142">
        <v>0</v>
      </c>
      <c r="Z92" s="142">
        <v>0</v>
      </c>
      <c r="AA92" s="142">
        <v>0</v>
      </c>
      <c r="AB92" s="142">
        <v>0</v>
      </c>
      <c r="AC92" s="142">
        <v>0</v>
      </c>
      <c r="AD92" s="142">
        <v>0</v>
      </c>
      <c r="AE92" s="142">
        <v>0</v>
      </c>
      <c r="AF92" s="142">
        <v>0</v>
      </c>
      <c r="AG92" s="142">
        <v>0</v>
      </c>
      <c r="AH92" s="142">
        <v>0</v>
      </c>
      <c r="AI92" s="142">
        <v>0</v>
      </c>
      <c r="AJ92" s="142">
        <v>0</v>
      </c>
      <c r="AK92" s="142">
        <v>0</v>
      </c>
      <c r="AL92" s="142">
        <v>0</v>
      </c>
      <c r="AM92" s="142">
        <v>0</v>
      </c>
      <c r="AN92" s="142">
        <v>0</v>
      </c>
      <c r="AO92" s="142">
        <v>0</v>
      </c>
      <c r="AP92" s="142">
        <v>0</v>
      </c>
      <c r="AQ92" s="142">
        <v>0</v>
      </c>
      <c r="AR92" s="142">
        <v>0</v>
      </c>
      <c r="AS92" s="142">
        <v>0</v>
      </c>
      <c r="AT92" s="142">
        <v>0</v>
      </c>
      <c r="AU92" s="142">
        <v>0</v>
      </c>
      <c r="AV92" s="142">
        <v>0</v>
      </c>
      <c r="AW92" s="142">
        <v>0</v>
      </c>
      <c r="AX92" s="140"/>
    </row>
    <row r="93" spans="18:50" x14ac:dyDescent="0.25">
      <c r="R93" s="141">
        <f t="shared" si="1"/>
        <v>1195.2322893685819</v>
      </c>
      <c r="S93" s="142">
        <v>0</v>
      </c>
      <c r="T93" s="142">
        <v>0</v>
      </c>
      <c r="U93" s="142">
        <v>0</v>
      </c>
      <c r="V93" s="142">
        <v>0</v>
      </c>
      <c r="W93" s="142">
        <v>0</v>
      </c>
      <c r="X93" s="142">
        <v>0</v>
      </c>
      <c r="Y93" s="142">
        <v>0</v>
      </c>
      <c r="Z93" s="142">
        <v>0</v>
      </c>
      <c r="AA93" s="142">
        <v>0</v>
      </c>
      <c r="AB93" s="142">
        <v>0</v>
      </c>
      <c r="AC93" s="142">
        <v>0</v>
      </c>
      <c r="AD93" s="142">
        <v>0</v>
      </c>
      <c r="AE93" s="142">
        <v>0</v>
      </c>
      <c r="AF93" s="142">
        <v>0</v>
      </c>
      <c r="AG93" s="142">
        <v>0</v>
      </c>
      <c r="AH93" s="142">
        <v>0</v>
      </c>
      <c r="AI93" s="142">
        <v>0</v>
      </c>
      <c r="AJ93" s="142">
        <v>0</v>
      </c>
      <c r="AK93" s="142">
        <v>0</v>
      </c>
      <c r="AL93" s="142">
        <v>0</v>
      </c>
      <c r="AM93" s="142">
        <v>0</v>
      </c>
      <c r="AN93" s="142">
        <v>0</v>
      </c>
      <c r="AO93" s="142">
        <v>0</v>
      </c>
      <c r="AP93" s="142">
        <v>0</v>
      </c>
      <c r="AQ93" s="142">
        <v>0</v>
      </c>
      <c r="AR93" s="142">
        <v>0</v>
      </c>
      <c r="AS93" s="142">
        <v>0</v>
      </c>
      <c r="AT93" s="142">
        <v>0</v>
      </c>
      <c r="AU93" s="142">
        <v>0</v>
      </c>
      <c r="AV93" s="142">
        <v>0</v>
      </c>
      <c r="AW93" s="142">
        <v>0</v>
      </c>
      <c r="AX93" s="140"/>
    </row>
    <row r="94" spans="18:50" x14ac:dyDescent="0.25">
      <c r="R94" s="141">
        <f t="shared" si="1"/>
        <v>1252.1481126718477</v>
      </c>
      <c r="S94" s="142">
        <v>0</v>
      </c>
      <c r="T94" s="142">
        <v>0</v>
      </c>
      <c r="U94" s="142">
        <v>0</v>
      </c>
      <c r="V94" s="142">
        <v>0</v>
      </c>
      <c r="W94" s="142">
        <v>0</v>
      </c>
      <c r="X94" s="142">
        <v>0</v>
      </c>
      <c r="Y94" s="142">
        <v>0</v>
      </c>
      <c r="Z94" s="142">
        <v>0</v>
      </c>
      <c r="AA94" s="142">
        <v>0</v>
      </c>
      <c r="AB94" s="142">
        <v>0</v>
      </c>
      <c r="AC94" s="142">
        <v>0</v>
      </c>
      <c r="AD94" s="142">
        <v>0</v>
      </c>
      <c r="AE94" s="142">
        <v>0</v>
      </c>
      <c r="AF94" s="142">
        <v>0</v>
      </c>
      <c r="AG94" s="142">
        <v>0</v>
      </c>
      <c r="AH94" s="142">
        <v>0</v>
      </c>
      <c r="AI94" s="142">
        <v>0</v>
      </c>
      <c r="AJ94" s="142">
        <v>0</v>
      </c>
      <c r="AK94" s="142">
        <v>0</v>
      </c>
      <c r="AL94" s="142">
        <v>0</v>
      </c>
      <c r="AM94" s="142">
        <v>0</v>
      </c>
      <c r="AN94" s="142">
        <v>0</v>
      </c>
      <c r="AO94" s="142">
        <v>0</v>
      </c>
      <c r="AP94" s="142">
        <v>0</v>
      </c>
      <c r="AQ94" s="142">
        <v>0</v>
      </c>
      <c r="AR94" s="142">
        <v>0</v>
      </c>
      <c r="AS94" s="142">
        <v>0</v>
      </c>
      <c r="AT94" s="142">
        <v>0</v>
      </c>
      <c r="AU94" s="142">
        <v>0</v>
      </c>
      <c r="AV94" s="142">
        <v>0</v>
      </c>
      <c r="AW94" s="142">
        <v>0</v>
      </c>
      <c r="AX94" s="140"/>
    </row>
    <row r="95" spans="18:50" x14ac:dyDescent="0.25">
      <c r="R95" s="141">
        <f t="shared" si="1"/>
        <v>1309.0639359751137</v>
      </c>
      <c r="S95" s="142">
        <v>0</v>
      </c>
      <c r="T95" s="142">
        <v>0</v>
      </c>
      <c r="U95" s="142">
        <v>0</v>
      </c>
      <c r="V95" s="142">
        <v>0</v>
      </c>
      <c r="W95" s="142">
        <v>0</v>
      </c>
      <c r="X95" s="142">
        <v>0</v>
      </c>
      <c r="Y95" s="142">
        <v>0</v>
      </c>
      <c r="Z95" s="142">
        <v>0</v>
      </c>
      <c r="AA95" s="142">
        <v>0</v>
      </c>
      <c r="AB95" s="142">
        <v>0</v>
      </c>
      <c r="AC95" s="142">
        <v>0</v>
      </c>
      <c r="AD95" s="142">
        <v>0</v>
      </c>
      <c r="AE95" s="142">
        <v>0</v>
      </c>
      <c r="AF95" s="142">
        <v>0</v>
      </c>
      <c r="AG95" s="142">
        <v>0</v>
      </c>
      <c r="AH95" s="142">
        <v>0</v>
      </c>
      <c r="AI95" s="142">
        <v>0</v>
      </c>
      <c r="AJ95" s="142">
        <v>0</v>
      </c>
      <c r="AK95" s="142">
        <v>0</v>
      </c>
      <c r="AL95" s="142">
        <v>0</v>
      </c>
      <c r="AM95" s="142">
        <v>0</v>
      </c>
      <c r="AN95" s="142">
        <v>0</v>
      </c>
      <c r="AO95" s="142">
        <v>0</v>
      </c>
      <c r="AP95" s="142">
        <v>0</v>
      </c>
      <c r="AQ95" s="142">
        <v>0</v>
      </c>
      <c r="AR95" s="142">
        <v>0</v>
      </c>
      <c r="AS95" s="142">
        <v>0</v>
      </c>
      <c r="AT95" s="142">
        <v>0</v>
      </c>
      <c r="AU95" s="142">
        <v>0</v>
      </c>
      <c r="AV95" s="142">
        <v>0</v>
      </c>
      <c r="AW95" s="142">
        <v>0</v>
      </c>
      <c r="AX95" s="140"/>
    </row>
    <row r="96" spans="18:50" x14ac:dyDescent="0.25">
      <c r="R96" s="141">
        <f t="shared" si="1"/>
        <v>1365.9797592783796</v>
      </c>
      <c r="S96" s="142">
        <v>0</v>
      </c>
      <c r="T96" s="142">
        <v>0</v>
      </c>
      <c r="U96" s="142">
        <v>0</v>
      </c>
      <c r="V96" s="142">
        <v>0</v>
      </c>
      <c r="W96" s="142">
        <v>0</v>
      </c>
      <c r="X96" s="142">
        <v>0</v>
      </c>
      <c r="Y96" s="142">
        <v>0</v>
      </c>
      <c r="Z96" s="142">
        <v>0</v>
      </c>
      <c r="AA96" s="142">
        <v>0</v>
      </c>
      <c r="AB96" s="142">
        <v>0</v>
      </c>
      <c r="AC96" s="142">
        <v>0</v>
      </c>
      <c r="AD96" s="142">
        <v>0</v>
      </c>
      <c r="AE96" s="142">
        <v>0</v>
      </c>
      <c r="AF96" s="142">
        <v>0</v>
      </c>
      <c r="AG96" s="142">
        <v>0</v>
      </c>
      <c r="AH96" s="142">
        <v>0</v>
      </c>
      <c r="AI96" s="142">
        <v>0</v>
      </c>
      <c r="AJ96" s="142">
        <v>0</v>
      </c>
      <c r="AK96" s="142">
        <v>0</v>
      </c>
      <c r="AL96" s="142">
        <v>0</v>
      </c>
      <c r="AM96" s="142">
        <v>0</v>
      </c>
      <c r="AN96" s="142">
        <v>0</v>
      </c>
      <c r="AO96" s="142">
        <v>0</v>
      </c>
      <c r="AP96" s="142">
        <v>0</v>
      </c>
      <c r="AQ96" s="142">
        <v>0</v>
      </c>
      <c r="AR96" s="142">
        <v>0</v>
      </c>
      <c r="AS96" s="142">
        <v>0</v>
      </c>
      <c r="AT96" s="142">
        <v>0</v>
      </c>
      <c r="AU96" s="142">
        <v>0</v>
      </c>
      <c r="AV96" s="142">
        <v>0</v>
      </c>
      <c r="AW96" s="142">
        <v>0</v>
      </c>
      <c r="AX96" s="140"/>
    </row>
    <row r="97" spans="18:50" x14ac:dyDescent="0.25">
      <c r="R97" s="141">
        <f t="shared" si="1"/>
        <v>1422.8955825816452</v>
      </c>
      <c r="S97" s="142">
        <v>0</v>
      </c>
      <c r="T97" s="142">
        <v>0</v>
      </c>
      <c r="U97" s="142">
        <v>0</v>
      </c>
      <c r="V97" s="142">
        <v>0</v>
      </c>
      <c r="W97" s="142">
        <v>0</v>
      </c>
      <c r="X97" s="142">
        <v>0</v>
      </c>
      <c r="Y97" s="142">
        <v>0</v>
      </c>
      <c r="Z97" s="142">
        <v>0</v>
      </c>
      <c r="AA97" s="142">
        <v>0</v>
      </c>
      <c r="AB97" s="142">
        <v>0</v>
      </c>
      <c r="AC97" s="142">
        <v>0</v>
      </c>
      <c r="AD97" s="142">
        <v>0</v>
      </c>
      <c r="AE97" s="142">
        <v>0</v>
      </c>
      <c r="AF97" s="142">
        <v>0</v>
      </c>
      <c r="AG97" s="142">
        <v>0</v>
      </c>
      <c r="AH97" s="142">
        <v>0</v>
      </c>
      <c r="AI97" s="142">
        <v>0</v>
      </c>
      <c r="AJ97" s="142">
        <v>0</v>
      </c>
      <c r="AK97" s="142">
        <v>0</v>
      </c>
      <c r="AL97" s="142">
        <v>0</v>
      </c>
      <c r="AM97" s="142">
        <v>0</v>
      </c>
      <c r="AN97" s="142">
        <v>0</v>
      </c>
      <c r="AO97" s="142">
        <v>0</v>
      </c>
      <c r="AP97" s="142">
        <v>0</v>
      </c>
      <c r="AQ97" s="142">
        <v>0</v>
      </c>
      <c r="AR97" s="142">
        <v>0</v>
      </c>
      <c r="AS97" s="142">
        <v>0</v>
      </c>
      <c r="AT97" s="142">
        <v>0</v>
      </c>
      <c r="AU97" s="142">
        <v>0</v>
      </c>
      <c r="AV97" s="142">
        <v>0</v>
      </c>
      <c r="AW97" s="142">
        <v>0</v>
      </c>
      <c r="AX97" s="140"/>
    </row>
    <row r="98" spans="18:50" x14ac:dyDescent="0.25">
      <c r="R98" s="141">
        <f t="shared" si="1"/>
        <v>1479.811405884911</v>
      </c>
      <c r="S98" s="142">
        <v>0</v>
      </c>
      <c r="T98" s="142">
        <v>0</v>
      </c>
      <c r="U98" s="142">
        <v>0</v>
      </c>
      <c r="V98" s="142">
        <v>0</v>
      </c>
      <c r="W98" s="142">
        <v>0</v>
      </c>
      <c r="X98" s="142">
        <v>0</v>
      </c>
      <c r="Y98" s="142">
        <v>0</v>
      </c>
      <c r="Z98" s="142">
        <v>0</v>
      </c>
      <c r="AA98" s="142">
        <v>0</v>
      </c>
      <c r="AB98" s="142">
        <v>0</v>
      </c>
      <c r="AC98" s="142">
        <v>0</v>
      </c>
      <c r="AD98" s="142">
        <v>0</v>
      </c>
      <c r="AE98" s="142">
        <v>0</v>
      </c>
      <c r="AF98" s="142">
        <v>0</v>
      </c>
      <c r="AG98" s="142">
        <v>0</v>
      </c>
      <c r="AH98" s="142">
        <v>0</v>
      </c>
      <c r="AI98" s="142">
        <v>0</v>
      </c>
      <c r="AJ98" s="142">
        <v>0</v>
      </c>
      <c r="AK98" s="142">
        <v>0</v>
      </c>
      <c r="AL98" s="142">
        <v>0</v>
      </c>
      <c r="AM98" s="142">
        <v>0</v>
      </c>
      <c r="AN98" s="142">
        <v>0</v>
      </c>
      <c r="AO98" s="142">
        <v>0</v>
      </c>
      <c r="AP98" s="142">
        <v>0</v>
      </c>
      <c r="AQ98" s="142">
        <v>0</v>
      </c>
      <c r="AR98" s="142">
        <v>0</v>
      </c>
      <c r="AS98" s="142">
        <v>0</v>
      </c>
      <c r="AT98" s="142">
        <v>0</v>
      </c>
      <c r="AU98" s="142">
        <v>0</v>
      </c>
      <c r="AV98" s="142">
        <v>0</v>
      </c>
      <c r="AW98" s="142">
        <v>0</v>
      </c>
      <c r="AX98" s="140"/>
    </row>
    <row r="99" spans="18:50" x14ac:dyDescent="0.25">
      <c r="R99" s="141">
        <f t="shared" si="1"/>
        <v>1536.7272291881768</v>
      </c>
      <c r="S99" s="142">
        <v>0</v>
      </c>
      <c r="T99" s="142">
        <v>0</v>
      </c>
      <c r="U99" s="142">
        <v>0</v>
      </c>
      <c r="V99" s="142">
        <v>0</v>
      </c>
      <c r="W99" s="142">
        <v>0</v>
      </c>
      <c r="X99" s="142">
        <v>0</v>
      </c>
      <c r="Y99" s="142">
        <v>0</v>
      </c>
      <c r="Z99" s="142">
        <v>0</v>
      </c>
      <c r="AA99" s="142">
        <v>0</v>
      </c>
      <c r="AB99" s="142">
        <v>0</v>
      </c>
      <c r="AC99" s="142">
        <v>0</v>
      </c>
      <c r="AD99" s="142">
        <v>0</v>
      </c>
      <c r="AE99" s="142">
        <v>0</v>
      </c>
      <c r="AF99" s="142">
        <v>0</v>
      </c>
      <c r="AG99" s="142">
        <v>0</v>
      </c>
      <c r="AH99" s="142">
        <v>0</v>
      </c>
      <c r="AI99" s="142">
        <v>0</v>
      </c>
      <c r="AJ99" s="142">
        <v>0</v>
      </c>
      <c r="AK99" s="142">
        <v>0</v>
      </c>
      <c r="AL99" s="142">
        <v>0</v>
      </c>
      <c r="AM99" s="142">
        <v>0</v>
      </c>
      <c r="AN99" s="142">
        <v>0</v>
      </c>
      <c r="AO99" s="142">
        <v>0</v>
      </c>
      <c r="AP99" s="142">
        <v>0</v>
      </c>
      <c r="AQ99" s="142">
        <v>0</v>
      </c>
      <c r="AR99" s="142">
        <v>0</v>
      </c>
      <c r="AS99" s="142">
        <v>0</v>
      </c>
      <c r="AT99" s="142">
        <v>0</v>
      </c>
      <c r="AU99" s="142">
        <v>0</v>
      </c>
      <c r="AV99" s="142">
        <v>0</v>
      </c>
      <c r="AW99" s="142">
        <v>0</v>
      </c>
      <c r="AX99" s="140"/>
    </row>
    <row r="100" spans="18:50" x14ac:dyDescent="0.25">
      <c r="R100" s="141">
        <f t="shared" si="1"/>
        <v>1593.6430524914426</v>
      </c>
      <c r="S100" s="142">
        <v>0</v>
      </c>
      <c r="T100" s="142">
        <v>0</v>
      </c>
      <c r="U100" s="142">
        <v>0</v>
      </c>
      <c r="V100" s="142">
        <v>0</v>
      </c>
      <c r="W100" s="142">
        <v>0</v>
      </c>
      <c r="X100" s="142">
        <v>0</v>
      </c>
      <c r="Y100" s="142">
        <v>0</v>
      </c>
      <c r="Z100" s="142">
        <v>0</v>
      </c>
      <c r="AA100" s="142">
        <v>0</v>
      </c>
      <c r="AB100" s="142">
        <v>0</v>
      </c>
      <c r="AC100" s="142">
        <v>0</v>
      </c>
      <c r="AD100" s="142">
        <v>0</v>
      </c>
      <c r="AE100" s="142">
        <v>0</v>
      </c>
      <c r="AF100" s="142">
        <v>0</v>
      </c>
      <c r="AG100" s="142">
        <v>0</v>
      </c>
      <c r="AH100" s="142">
        <v>0</v>
      </c>
      <c r="AI100" s="142">
        <v>0</v>
      </c>
      <c r="AJ100" s="142">
        <v>0</v>
      </c>
      <c r="AK100" s="142">
        <v>0</v>
      </c>
      <c r="AL100" s="142">
        <v>0</v>
      </c>
      <c r="AM100" s="142">
        <v>0</v>
      </c>
      <c r="AN100" s="142">
        <v>0</v>
      </c>
      <c r="AO100" s="142">
        <v>0</v>
      </c>
      <c r="AP100" s="142">
        <v>0</v>
      </c>
      <c r="AQ100" s="142">
        <v>0</v>
      </c>
      <c r="AR100" s="142">
        <v>0</v>
      </c>
      <c r="AS100" s="142">
        <v>0</v>
      </c>
      <c r="AT100" s="142">
        <v>0</v>
      </c>
      <c r="AU100" s="142">
        <v>0</v>
      </c>
      <c r="AV100" s="142">
        <v>0</v>
      </c>
      <c r="AW100" s="142">
        <v>0</v>
      </c>
      <c r="AX100" s="140"/>
    </row>
    <row r="101" spans="18:50" x14ac:dyDescent="0.25">
      <c r="R101" s="141">
        <f t="shared" si="1"/>
        <v>1650.5588757947085</v>
      </c>
      <c r="S101" s="142">
        <v>0</v>
      </c>
      <c r="T101" s="142">
        <v>0</v>
      </c>
      <c r="U101" s="142">
        <v>0</v>
      </c>
      <c r="V101" s="142">
        <v>0</v>
      </c>
      <c r="W101" s="142">
        <v>0</v>
      </c>
      <c r="X101" s="142">
        <v>0</v>
      </c>
      <c r="Y101" s="142">
        <v>0</v>
      </c>
      <c r="Z101" s="142">
        <v>0</v>
      </c>
      <c r="AA101" s="142">
        <v>0</v>
      </c>
      <c r="AB101" s="142">
        <v>0</v>
      </c>
      <c r="AC101" s="142">
        <v>0</v>
      </c>
      <c r="AD101" s="142">
        <v>0</v>
      </c>
      <c r="AE101" s="142">
        <v>0</v>
      </c>
      <c r="AF101" s="142">
        <v>0</v>
      </c>
      <c r="AG101" s="142">
        <v>0</v>
      </c>
      <c r="AH101" s="142">
        <v>0</v>
      </c>
      <c r="AI101" s="142">
        <v>0</v>
      </c>
      <c r="AJ101" s="142">
        <v>0</v>
      </c>
      <c r="AK101" s="142">
        <v>0</v>
      </c>
      <c r="AL101" s="142">
        <v>0</v>
      </c>
      <c r="AM101" s="142">
        <v>0</v>
      </c>
      <c r="AN101" s="142">
        <v>0</v>
      </c>
      <c r="AO101" s="142">
        <v>0</v>
      </c>
      <c r="AP101" s="142">
        <v>0</v>
      </c>
      <c r="AQ101" s="142">
        <v>0</v>
      </c>
      <c r="AR101" s="142">
        <v>0</v>
      </c>
      <c r="AS101" s="142">
        <v>0</v>
      </c>
      <c r="AT101" s="142">
        <v>0</v>
      </c>
      <c r="AU101" s="142">
        <v>0</v>
      </c>
      <c r="AV101" s="142">
        <v>0</v>
      </c>
      <c r="AW101" s="142">
        <v>0</v>
      </c>
      <c r="AX101" s="140"/>
    </row>
    <row r="102" spans="18:50" x14ac:dyDescent="0.25">
      <c r="R102" s="141">
        <f t="shared" si="1"/>
        <v>1707.4746990979741</v>
      </c>
      <c r="S102" s="142">
        <v>0</v>
      </c>
      <c r="T102" s="142">
        <v>0</v>
      </c>
      <c r="U102" s="142">
        <v>0</v>
      </c>
      <c r="V102" s="142">
        <v>0</v>
      </c>
      <c r="W102" s="142">
        <v>0</v>
      </c>
      <c r="X102" s="142">
        <v>0</v>
      </c>
      <c r="Y102" s="142">
        <v>0</v>
      </c>
      <c r="Z102" s="142">
        <v>0</v>
      </c>
      <c r="AA102" s="142">
        <v>0</v>
      </c>
      <c r="AB102" s="142">
        <v>0</v>
      </c>
      <c r="AC102" s="142">
        <v>0</v>
      </c>
      <c r="AD102" s="142">
        <v>0</v>
      </c>
      <c r="AE102" s="142">
        <v>0</v>
      </c>
      <c r="AF102" s="142">
        <v>0</v>
      </c>
      <c r="AG102" s="142">
        <v>0</v>
      </c>
      <c r="AH102" s="142">
        <v>0</v>
      </c>
      <c r="AI102" s="142">
        <v>0</v>
      </c>
      <c r="AJ102" s="142">
        <v>0</v>
      </c>
      <c r="AK102" s="142">
        <v>0</v>
      </c>
      <c r="AL102" s="142">
        <v>0</v>
      </c>
      <c r="AM102" s="142">
        <v>0</v>
      </c>
      <c r="AN102" s="142">
        <v>0</v>
      </c>
      <c r="AO102" s="142">
        <v>0</v>
      </c>
      <c r="AP102" s="142">
        <v>0</v>
      </c>
      <c r="AQ102" s="142">
        <v>0</v>
      </c>
      <c r="AR102" s="142">
        <v>0</v>
      </c>
      <c r="AS102" s="142">
        <v>0</v>
      </c>
      <c r="AT102" s="142">
        <v>0</v>
      </c>
      <c r="AU102" s="142">
        <v>0</v>
      </c>
      <c r="AV102" s="142">
        <v>0</v>
      </c>
      <c r="AW102" s="142">
        <v>0</v>
      </c>
      <c r="AX102" s="140"/>
    </row>
    <row r="103" spans="18:50" x14ac:dyDescent="0.25">
      <c r="R103" s="141">
        <f t="shared" si="1"/>
        <v>1764.3905224012399</v>
      </c>
      <c r="S103" s="142">
        <v>0</v>
      </c>
      <c r="T103" s="142">
        <v>0</v>
      </c>
      <c r="U103" s="142">
        <v>0</v>
      </c>
      <c r="V103" s="142">
        <v>0</v>
      </c>
      <c r="W103" s="142">
        <v>0</v>
      </c>
      <c r="X103" s="142">
        <v>0</v>
      </c>
      <c r="Y103" s="142">
        <v>0</v>
      </c>
      <c r="Z103" s="142">
        <v>0</v>
      </c>
      <c r="AA103" s="142">
        <v>0</v>
      </c>
      <c r="AB103" s="142">
        <v>0</v>
      </c>
      <c r="AC103" s="142">
        <v>0</v>
      </c>
      <c r="AD103" s="142">
        <v>0</v>
      </c>
      <c r="AE103" s="142">
        <v>0</v>
      </c>
      <c r="AF103" s="142">
        <v>0</v>
      </c>
      <c r="AG103" s="142">
        <v>0</v>
      </c>
      <c r="AH103" s="142">
        <v>0</v>
      </c>
      <c r="AI103" s="142">
        <v>0</v>
      </c>
      <c r="AJ103" s="142">
        <v>0</v>
      </c>
      <c r="AK103" s="142">
        <v>0</v>
      </c>
      <c r="AL103" s="142">
        <v>0</v>
      </c>
      <c r="AM103" s="142">
        <v>0</v>
      </c>
      <c r="AN103" s="142">
        <v>0</v>
      </c>
      <c r="AO103" s="142">
        <v>0</v>
      </c>
      <c r="AP103" s="142">
        <v>0</v>
      </c>
      <c r="AQ103" s="142">
        <v>0</v>
      </c>
      <c r="AR103" s="142">
        <v>0</v>
      </c>
      <c r="AS103" s="142">
        <v>0</v>
      </c>
      <c r="AT103" s="142">
        <v>0</v>
      </c>
      <c r="AU103" s="142">
        <v>0</v>
      </c>
      <c r="AV103" s="142">
        <v>0</v>
      </c>
      <c r="AW103" s="142">
        <v>0</v>
      </c>
      <c r="AX103" s="140"/>
    </row>
    <row r="104" spans="18:50" x14ac:dyDescent="0.25">
      <c r="R104" s="141">
        <f t="shared" si="1"/>
        <v>1821.3063457045057</v>
      </c>
      <c r="S104" s="142">
        <v>0</v>
      </c>
      <c r="T104" s="142">
        <v>0</v>
      </c>
      <c r="U104" s="142">
        <v>0</v>
      </c>
      <c r="V104" s="142">
        <v>0</v>
      </c>
      <c r="W104" s="142">
        <v>0</v>
      </c>
      <c r="X104" s="142">
        <v>0</v>
      </c>
      <c r="Y104" s="142">
        <v>0</v>
      </c>
      <c r="Z104" s="142">
        <v>0</v>
      </c>
      <c r="AA104" s="142">
        <v>0</v>
      </c>
      <c r="AB104" s="142">
        <v>0</v>
      </c>
      <c r="AC104" s="142">
        <v>0</v>
      </c>
      <c r="AD104" s="142">
        <v>0</v>
      </c>
      <c r="AE104" s="142">
        <v>0</v>
      </c>
      <c r="AF104" s="142">
        <v>0</v>
      </c>
      <c r="AG104" s="142">
        <v>0</v>
      </c>
      <c r="AH104" s="142">
        <v>0</v>
      </c>
      <c r="AI104" s="142">
        <v>0</v>
      </c>
      <c r="AJ104" s="142">
        <v>0</v>
      </c>
      <c r="AK104" s="142">
        <v>0</v>
      </c>
      <c r="AL104" s="142">
        <v>0</v>
      </c>
      <c r="AM104" s="142">
        <v>0</v>
      </c>
      <c r="AN104" s="142">
        <v>0</v>
      </c>
      <c r="AO104" s="142">
        <v>0</v>
      </c>
      <c r="AP104" s="142">
        <v>0</v>
      </c>
      <c r="AQ104" s="142">
        <v>0</v>
      </c>
      <c r="AR104" s="142">
        <v>0</v>
      </c>
      <c r="AS104" s="142">
        <v>0</v>
      </c>
      <c r="AT104" s="142">
        <v>0</v>
      </c>
      <c r="AU104" s="142">
        <v>0</v>
      </c>
      <c r="AV104" s="142">
        <v>0</v>
      </c>
      <c r="AW104" s="142">
        <v>0</v>
      </c>
      <c r="AX104" s="140"/>
    </row>
    <row r="105" spans="18:50" x14ac:dyDescent="0.25">
      <c r="R105" s="141">
        <f t="shared" si="1"/>
        <v>1878.2221690077715</v>
      </c>
      <c r="S105" s="142">
        <v>0</v>
      </c>
      <c r="T105" s="142">
        <v>0</v>
      </c>
      <c r="U105" s="142">
        <v>0</v>
      </c>
      <c r="V105" s="142">
        <v>0</v>
      </c>
      <c r="W105" s="142">
        <v>0</v>
      </c>
      <c r="X105" s="142">
        <v>0</v>
      </c>
      <c r="Y105" s="142">
        <v>0</v>
      </c>
      <c r="Z105" s="142">
        <v>0</v>
      </c>
      <c r="AA105" s="142">
        <v>0</v>
      </c>
      <c r="AB105" s="142">
        <v>0</v>
      </c>
      <c r="AC105" s="142">
        <v>0</v>
      </c>
      <c r="AD105" s="142">
        <v>0</v>
      </c>
      <c r="AE105" s="142">
        <v>0</v>
      </c>
      <c r="AF105" s="142">
        <v>0</v>
      </c>
      <c r="AG105" s="142">
        <v>0</v>
      </c>
      <c r="AH105" s="142">
        <v>0</v>
      </c>
      <c r="AI105" s="142">
        <v>0</v>
      </c>
      <c r="AJ105" s="142">
        <v>0</v>
      </c>
      <c r="AK105" s="142">
        <v>0</v>
      </c>
      <c r="AL105" s="142">
        <v>0</v>
      </c>
      <c r="AM105" s="142">
        <v>0</v>
      </c>
      <c r="AN105" s="142">
        <v>0</v>
      </c>
      <c r="AO105" s="142">
        <v>0</v>
      </c>
      <c r="AP105" s="142">
        <v>0</v>
      </c>
      <c r="AQ105" s="142">
        <v>0</v>
      </c>
      <c r="AR105" s="142">
        <v>0</v>
      </c>
      <c r="AS105" s="142">
        <v>0</v>
      </c>
      <c r="AT105" s="142">
        <v>0</v>
      </c>
      <c r="AU105" s="142">
        <v>0</v>
      </c>
      <c r="AV105" s="142">
        <v>0</v>
      </c>
      <c r="AW105" s="142">
        <v>0</v>
      </c>
    </row>
    <row r="106" spans="18:50" x14ac:dyDescent="0.25">
      <c r="R106" s="141">
        <f t="shared" si="1"/>
        <v>1935.1379923110374</v>
      </c>
      <c r="S106" s="142">
        <v>0</v>
      </c>
      <c r="T106" s="142">
        <v>0</v>
      </c>
      <c r="U106" s="142">
        <v>0</v>
      </c>
      <c r="V106" s="142">
        <v>0</v>
      </c>
      <c r="W106" s="142">
        <v>0</v>
      </c>
      <c r="X106" s="142">
        <v>0</v>
      </c>
      <c r="Y106" s="142">
        <v>0</v>
      </c>
      <c r="Z106" s="142">
        <v>0</v>
      </c>
      <c r="AA106" s="142">
        <v>0</v>
      </c>
      <c r="AB106" s="142">
        <v>0</v>
      </c>
      <c r="AC106" s="142">
        <v>0</v>
      </c>
      <c r="AD106" s="142">
        <v>0</v>
      </c>
      <c r="AE106" s="142">
        <v>0</v>
      </c>
      <c r="AF106" s="142">
        <v>0</v>
      </c>
      <c r="AG106" s="142">
        <v>0</v>
      </c>
      <c r="AH106" s="142">
        <v>0</v>
      </c>
      <c r="AI106" s="142">
        <v>0</v>
      </c>
      <c r="AJ106" s="142">
        <v>0</v>
      </c>
      <c r="AK106" s="142">
        <v>0</v>
      </c>
      <c r="AL106" s="142">
        <v>0</v>
      </c>
      <c r="AM106" s="142">
        <v>0</v>
      </c>
      <c r="AN106" s="142">
        <v>0</v>
      </c>
      <c r="AO106" s="142">
        <v>0</v>
      </c>
      <c r="AP106" s="142">
        <v>0</v>
      </c>
      <c r="AQ106" s="142">
        <v>0</v>
      </c>
      <c r="AR106" s="142">
        <v>0</v>
      </c>
      <c r="AS106" s="142">
        <v>0</v>
      </c>
      <c r="AT106" s="142">
        <v>0</v>
      </c>
      <c r="AU106" s="142">
        <v>0</v>
      </c>
      <c r="AV106" s="142">
        <v>0</v>
      </c>
      <c r="AW106" s="142">
        <v>0</v>
      </c>
    </row>
    <row r="107" spans="18:50" x14ac:dyDescent="0.25">
      <c r="R107" s="141">
        <f t="shared" si="1"/>
        <v>1992.0538156143032</v>
      </c>
      <c r="S107" s="142">
        <v>0</v>
      </c>
      <c r="T107" s="142">
        <v>0</v>
      </c>
      <c r="U107" s="142">
        <v>0</v>
      </c>
      <c r="V107" s="142">
        <v>0</v>
      </c>
      <c r="W107" s="142">
        <v>0</v>
      </c>
      <c r="X107" s="142">
        <v>0</v>
      </c>
      <c r="Y107" s="142">
        <v>0</v>
      </c>
      <c r="Z107" s="142">
        <v>0</v>
      </c>
      <c r="AA107" s="142">
        <v>0</v>
      </c>
      <c r="AB107" s="142">
        <v>0</v>
      </c>
      <c r="AC107" s="142">
        <v>0</v>
      </c>
      <c r="AD107" s="142">
        <v>0</v>
      </c>
      <c r="AE107" s="142">
        <v>0</v>
      </c>
      <c r="AF107" s="142">
        <v>0</v>
      </c>
      <c r="AG107" s="142">
        <v>0</v>
      </c>
      <c r="AH107" s="142">
        <v>0</v>
      </c>
      <c r="AI107" s="142">
        <v>0</v>
      </c>
      <c r="AJ107" s="142">
        <v>0</v>
      </c>
      <c r="AK107" s="142">
        <v>0</v>
      </c>
      <c r="AL107" s="142">
        <v>0</v>
      </c>
      <c r="AM107" s="142">
        <v>0</v>
      </c>
      <c r="AN107" s="142">
        <v>0</v>
      </c>
      <c r="AO107" s="142">
        <v>0</v>
      </c>
      <c r="AP107" s="142">
        <v>0</v>
      </c>
      <c r="AQ107" s="142">
        <v>0</v>
      </c>
      <c r="AR107" s="142">
        <v>0</v>
      </c>
      <c r="AS107" s="142">
        <v>0</v>
      </c>
      <c r="AT107" s="142">
        <v>0</v>
      </c>
      <c r="AU107" s="142">
        <v>0</v>
      </c>
      <c r="AV107" s="142">
        <v>0</v>
      </c>
      <c r="AW107" s="142">
        <v>0</v>
      </c>
    </row>
    <row r="108" spans="18:50" x14ac:dyDescent="0.25">
      <c r="R108" s="141">
        <f t="shared" si="1"/>
        <v>2048.9696389175692</v>
      </c>
      <c r="S108" s="142">
        <v>0</v>
      </c>
      <c r="T108" s="142">
        <v>0</v>
      </c>
      <c r="U108" s="142">
        <v>0</v>
      </c>
      <c r="V108" s="142">
        <v>0</v>
      </c>
      <c r="W108" s="142">
        <v>0</v>
      </c>
      <c r="X108" s="142">
        <v>0</v>
      </c>
      <c r="Y108" s="142">
        <v>0</v>
      </c>
      <c r="Z108" s="142">
        <v>0</v>
      </c>
      <c r="AA108" s="142">
        <v>0</v>
      </c>
      <c r="AB108" s="142">
        <v>0</v>
      </c>
      <c r="AC108" s="142">
        <v>0</v>
      </c>
      <c r="AD108" s="142">
        <v>0</v>
      </c>
      <c r="AE108" s="142">
        <v>0</v>
      </c>
      <c r="AF108" s="142">
        <v>0</v>
      </c>
      <c r="AG108" s="142">
        <v>0</v>
      </c>
      <c r="AH108" s="142">
        <v>0</v>
      </c>
      <c r="AI108" s="142">
        <v>0</v>
      </c>
      <c r="AJ108" s="142">
        <v>0</v>
      </c>
      <c r="AK108" s="142">
        <v>0</v>
      </c>
      <c r="AL108" s="142">
        <v>0</v>
      </c>
      <c r="AM108" s="142">
        <v>0</v>
      </c>
      <c r="AN108" s="142">
        <v>0</v>
      </c>
      <c r="AO108" s="142">
        <v>0</v>
      </c>
      <c r="AP108" s="142">
        <v>0</v>
      </c>
      <c r="AQ108" s="142">
        <v>0</v>
      </c>
      <c r="AR108" s="142">
        <v>0</v>
      </c>
      <c r="AS108" s="142">
        <v>0</v>
      </c>
      <c r="AT108" s="142">
        <v>0</v>
      </c>
      <c r="AU108" s="142">
        <v>0</v>
      </c>
      <c r="AV108" s="142">
        <v>0</v>
      </c>
      <c r="AW108" s="142">
        <v>0</v>
      </c>
    </row>
    <row r="109" spans="18:50" x14ac:dyDescent="0.25">
      <c r="R109" s="141">
        <f t="shared" si="1"/>
        <v>2105.8854622208351</v>
      </c>
      <c r="S109" s="142">
        <v>0</v>
      </c>
      <c r="T109" s="142">
        <v>0</v>
      </c>
      <c r="U109" s="142">
        <v>0</v>
      </c>
      <c r="V109" s="142">
        <v>0</v>
      </c>
      <c r="W109" s="142">
        <v>0</v>
      </c>
      <c r="X109" s="142">
        <v>0</v>
      </c>
      <c r="Y109" s="142">
        <v>0</v>
      </c>
      <c r="Z109" s="142">
        <v>0</v>
      </c>
      <c r="AA109" s="142">
        <v>0</v>
      </c>
      <c r="AB109" s="142">
        <v>0</v>
      </c>
      <c r="AC109" s="142">
        <v>0</v>
      </c>
      <c r="AD109" s="142">
        <v>0</v>
      </c>
      <c r="AE109" s="142">
        <v>0</v>
      </c>
      <c r="AF109" s="142">
        <v>0</v>
      </c>
      <c r="AG109" s="142">
        <v>0</v>
      </c>
      <c r="AH109" s="142">
        <v>0</v>
      </c>
      <c r="AI109" s="142">
        <v>0</v>
      </c>
      <c r="AJ109" s="142">
        <v>0</v>
      </c>
      <c r="AK109" s="142">
        <v>0</v>
      </c>
      <c r="AL109" s="142">
        <v>0</v>
      </c>
      <c r="AM109" s="142">
        <v>0</v>
      </c>
      <c r="AN109" s="142">
        <v>0</v>
      </c>
      <c r="AO109" s="142">
        <v>0</v>
      </c>
      <c r="AP109" s="142">
        <v>0</v>
      </c>
      <c r="AQ109" s="142">
        <v>0</v>
      </c>
      <c r="AR109" s="142">
        <v>0</v>
      </c>
      <c r="AS109" s="142">
        <v>0</v>
      </c>
      <c r="AT109" s="142">
        <v>0</v>
      </c>
      <c r="AU109" s="142">
        <v>0</v>
      </c>
      <c r="AV109" s="142">
        <v>0</v>
      </c>
      <c r="AW109" s="142">
        <v>0</v>
      </c>
    </row>
    <row r="110" spans="18:50" x14ac:dyDescent="0.25">
      <c r="R110" s="141">
        <f t="shared" si="1"/>
        <v>2162.8012855241009</v>
      </c>
      <c r="S110" s="142">
        <v>0</v>
      </c>
      <c r="T110" s="142">
        <v>0</v>
      </c>
      <c r="U110" s="142">
        <v>0</v>
      </c>
      <c r="V110" s="142">
        <v>0</v>
      </c>
      <c r="W110" s="142">
        <v>0</v>
      </c>
      <c r="X110" s="142">
        <v>0</v>
      </c>
      <c r="Y110" s="142">
        <v>0</v>
      </c>
      <c r="Z110" s="142">
        <v>0</v>
      </c>
      <c r="AA110" s="142">
        <v>0</v>
      </c>
      <c r="AB110" s="142">
        <v>0</v>
      </c>
      <c r="AC110" s="142">
        <v>0</v>
      </c>
      <c r="AD110" s="142">
        <v>0</v>
      </c>
      <c r="AE110" s="142">
        <v>0</v>
      </c>
      <c r="AF110" s="142">
        <v>0</v>
      </c>
      <c r="AG110" s="142">
        <v>0</v>
      </c>
      <c r="AH110" s="142">
        <v>0</v>
      </c>
      <c r="AI110" s="142">
        <v>0</v>
      </c>
      <c r="AJ110" s="142">
        <v>0</v>
      </c>
      <c r="AK110" s="142">
        <v>0</v>
      </c>
      <c r="AL110" s="142">
        <v>0</v>
      </c>
      <c r="AM110" s="142">
        <v>0</v>
      </c>
      <c r="AN110" s="142">
        <v>0</v>
      </c>
      <c r="AO110" s="142">
        <v>0</v>
      </c>
      <c r="AP110" s="142">
        <v>0</v>
      </c>
      <c r="AQ110" s="142">
        <v>0</v>
      </c>
      <c r="AR110" s="142">
        <v>0</v>
      </c>
      <c r="AS110" s="142">
        <v>0</v>
      </c>
      <c r="AT110" s="142">
        <v>0</v>
      </c>
      <c r="AU110" s="142">
        <v>0</v>
      </c>
      <c r="AV110" s="142">
        <v>0</v>
      </c>
      <c r="AW110" s="142">
        <v>0</v>
      </c>
    </row>
    <row r="111" spans="18:50" x14ac:dyDescent="0.25">
      <c r="R111" s="141">
        <f t="shared" si="1"/>
        <v>2219.7171088273667</v>
      </c>
      <c r="S111" s="142">
        <v>0</v>
      </c>
      <c r="T111" s="142">
        <v>0</v>
      </c>
      <c r="U111" s="142">
        <v>0</v>
      </c>
      <c r="V111" s="142">
        <v>0</v>
      </c>
      <c r="W111" s="142">
        <v>0</v>
      </c>
      <c r="X111" s="142">
        <v>0</v>
      </c>
      <c r="Y111" s="142">
        <v>0</v>
      </c>
      <c r="Z111" s="142">
        <v>0</v>
      </c>
      <c r="AA111" s="142">
        <v>0</v>
      </c>
      <c r="AB111" s="142">
        <v>0</v>
      </c>
      <c r="AC111" s="142">
        <v>0</v>
      </c>
      <c r="AD111" s="142">
        <v>0</v>
      </c>
      <c r="AE111" s="142">
        <v>0</v>
      </c>
      <c r="AF111" s="142">
        <v>0</v>
      </c>
      <c r="AG111" s="142">
        <v>0</v>
      </c>
      <c r="AH111" s="142">
        <v>0</v>
      </c>
      <c r="AI111" s="142">
        <v>0</v>
      </c>
      <c r="AJ111" s="142">
        <v>0</v>
      </c>
      <c r="AK111" s="142">
        <v>0</v>
      </c>
      <c r="AL111" s="142">
        <v>0</v>
      </c>
      <c r="AM111" s="142">
        <v>0</v>
      </c>
      <c r="AN111" s="142">
        <v>0</v>
      </c>
      <c r="AO111" s="142">
        <v>0</v>
      </c>
      <c r="AP111" s="142">
        <v>0</v>
      </c>
      <c r="AQ111" s="142">
        <v>0</v>
      </c>
      <c r="AR111" s="142">
        <v>0</v>
      </c>
      <c r="AS111" s="142">
        <v>0</v>
      </c>
      <c r="AT111" s="142">
        <v>0</v>
      </c>
      <c r="AU111" s="142">
        <v>0</v>
      </c>
      <c r="AV111" s="142">
        <v>0</v>
      </c>
      <c r="AW111" s="142">
        <v>0</v>
      </c>
    </row>
    <row r="112" spans="18:50" x14ac:dyDescent="0.25">
      <c r="R112" s="141">
        <f t="shared" si="1"/>
        <v>2276.6329321306321</v>
      </c>
      <c r="S112" s="142">
        <v>0</v>
      </c>
      <c r="T112" s="142">
        <v>0</v>
      </c>
      <c r="U112" s="142">
        <v>0</v>
      </c>
      <c r="V112" s="142">
        <v>0</v>
      </c>
      <c r="W112" s="142">
        <v>0</v>
      </c>
      <c r="X112" s="142">
        <v>0</v>
      </c>
      <c r="Y112" s="142">
        <v>0</v>
      </c>
      <c r="Z112" s="142">
        <v>0</v>
      </c>
      <c r="AA112" s="142">
        <v>0</v>
      </c>
      <c r="AB112" s="142">
        <v>0</v>
      </c>
      <c r="AC112" s="142">
        <v>0</v>
      </c>
      <c r="AD112" s="142">
        <v>0</v>
      </c>
      <c r="AE112" s="142">
        <v>0</v>
      </c>
      <c r="AF112" s="142">
        <v>0</v>
      </c>
      <c r="AG112" s="142">
        <v>0</v>
      </c>
      <c r="AH112" s="142">
        <v>0</v>
      </c>
      <c r="AI112" s="142">
        <v>0</v>
      </c>
      <c r="AJ112" s="142">
        <v>0</v>
      </c>
      <c r="AK112" s="142">
        <v>0</v>
      </c>
      <c r="AL112" s="142">
        <v>0</v>
      </c>
      <c r="AM112" s="142">
        <v>0</v>
      </c>
      <c r="AN112" s="142">
        <v>0</v>
      </c>
      <c r="AO112" s="142">
        <v>0</v>
      </c>
      <c r="AP112" s="142">
        <v>0</v>
      </c>
      <c r="AQ112" s="142">
        <v>0</v>
      </c>
      <c r="AR112" s="142">
        <v>0</v>
      </c>
      <c r="AS112" s="142">
        <v>0</v>
      </c>
      <c r="AT112" s="142">
        <v>0</v>
      </c>
      <c r="AU112" s="142">
        <v>0</v>
      </c>
      <c r="AV112" s="142">
        <v>0</v>
      </c>
      <c r="AW112" s="142">
        <v>0</v>
      </c>
    </row>
    <row r="113" spans="18:49" x14ac:dyDescent="0.25">
      <c r="R113" s="141">
        <f t="shared" si="1"/>
        <v>2333.5487554338979</v>
      </c>
      <c r="S113" s="142">
        <v>0</v>
      </c>
      <c r="T113" s="142">
        <v>0</v>
      </c>
      <c r="U113" s="142">
        <v>0</v>
      </c>
      <c r="V113" s="142">
        <v>0</v>
      </c>
      <c r="W113" s="142">
        <v>0</v>
      </c>
      <c r="X113" s="142">
        <v>0</v>
      </c>
      <c r="Y113" s="142">
        <v>0</v>
      </c>
      <c r="Z113" s="142">
        <v>0</v>
      </c>
      <c r="AA113" s="142">
        <v>0</v>
      </c>
      <c r="AB113" s="142">
        <v>0</v>
      </c>
      <c r="AC113" s="142">
        <v>0</v>
      </c>
      <c r="AD113" s="142">
        <v>0</v>
      </c>
      <c r="AE113" s="142">
        <v>0</v>
      </c>
      <c r="AF113" s="142">
        <v>0</v>
      </c>
      <c r="AG113" s="142">
        <v>0</v>
      </c>
      <c r="AH113" s="142">
        <v>0</v>
      </c>
      <c r="AI113" s="142">
        <v>0</v>
      </c>
      <c r="AJ113" s="142">
        <v>0</v>
      </c>
      <c r="AK113" s="142">
        <v>0</v>
      </c>
      <c r="AL113" s="142">
        <v>0</v>
      </c>
      <c r="AM113" s="142">
        <v>0</v>
      </c>
      <c r="AN113" s="142">
        <v>0</v>
      </c>
      <c r="AO113" s="142">
        <v>0</v>
      </c>
      <c r="AP113" s="142">
        <v>0</v>
      </c>
      <c r="AQ113" s="142">
        <v>0</v>
      </c>
      <c r="AR113" s="142">
        <v>0</v>
      </c>
      <c r="AS113" s="142">
        <v>0</v>
      </c>
      <c r="AT113" s="142">
        <v>0</v>
      </c>
      <c r="AU113" s="142">
        <v>0</v>
      </c>
      <c r="AV113" s="142">
        <v>0</v>
      </c>
      <c r="AW113" s="142">
        <v>0</v>
      </c>
    </row>
    <row r="114" spans="18:49" x14ac:dyDescent="0.25">
      <c r="R114" s="141">
        <f t="shared" si="1"/>
        <v>2390.4645787371637</v>
      </c>
      <c r="S114" s="142">
        <v>0</v>
      </c>
      <c r="T114" s="142">
        <v>0</v>
      </c>
      <c r="U114" s="142">
        <v>0</v>
      </c>
      <c r="V114" s="142">
        <v>0</v>
      </c>
      <c r="W114" s="142">
        <v>0</v>
      </c>
      <c r="X114" s="142">
        <v>0</v>
      </c>
      <c r="Y114" s="142">
        <v>0</v>
      </c>
      <c r="Z114" s="142">
        <v>0</v>
      </c>
      <c r="AA114" s="142">
        <v>0</v>
      </c>
      <c r="AB114" s="142">
        <v>0</v>
      </c>
      <c r="AC114" s="142">
        <v>0</v>
      </c>
      <c r="AD114" s="142">
        <v>0</v>
      </c>
      <c r="AE114" s="142">
        <v>0</v>
      </c>
      <c r="AF114" s="142">
        <v>0</v>
      </c>
      <c r="AG114" s="142">
        <v>0</v>
      </c>
      <c r="AH114" s="142">
        <v>0</v>
      </c>
      <c r="AI114" s="142">
        <v>0</v>
      </c>
      <c r="AJ114" s="142">
        <v>0</v>
      </c>
      <c r="AK114" s="142">
        <v>0</v>
      </c>
      <c r="AL114" s="142">
        <v>0</v>
      </c>
      <c r="AM114" s="142">
        <v>0</v>
      </c>
      <c r="AN114" s="142">
        <v>0</v>
      </c>
      <c r="AO114" s="142">
        <v>0</v>
      </c>
      <c r="AP114" s="142">
        <v>0</v>
      </c>
      <c r="AQ114" s="142">
        <v>0</v>
      </c>
      <c r="AR114" s="142">
        <v>0</v>
      </c>
      <c r="AS114" s="142">
        <v>0</v>
      </c>
      <c r="AT114" s="142">
        <v>0</v>
      </c>
      <c r="AU114" s="142">
        <v>0</v>
      </c>
      <c r="AV114" s="142">
        <v>0</v>
      </c>
      <c r="AW114" s="142">
        <v>0</v>
      </c>
    </row>
    <row r="115" spans="18:49" x14ac:dyDescent="0.25">
      <c r="R115" s="141">
        <f t="shared" si="1"/>
        <v>2447.3804020404295</v>
      </c>
      <c r="S115" s="142">
        <v>0</v>
      </c>
      <c r="T115" s="142">
        <v>0</v>
      </c>
      <c r="U115" s="142">
        <v>0</v>
      </c>
      <c r="V115" s="142">
        <v>0</v>
      </c>
      <c r="W115" s="142">
        <v>0</v>
      </c>
      <c r="X115" s="142">
        <v>0</v>
      </c>
      <c r="Y115" s="142">
        <v>0</v>
      </c>
      <c r="Z115" s="142">
        <v>0</v>
      </c>
      <c r="AA115" s="142">
        <v>0</v>
      </c>
      <c r="AB115" s="142">
        <v>0</v>
      </c>
      <c r="AC115" s="142">
        <v>0</v>
      </c>
      <c r="AD115" s="142">
        <v>0</v>
      </c>
      <c r="AE115" s="142">
        <v>0</v>
      </c>
      <c r="AF115" s="142">
        <v>0</v>
      </c>
      <c r="AG115" s="142">
        <v>0</v>
      </c>
      <c r="AH115" s="142">
        <v>0</v>
      </c>
      <c r="AI115" s="142">
        <v>0</v>
      </c>
      <c r="AJ115" s="142">
        <v>0</v>
      </c>
      <c r="AK115" s="142">
        <v>0</v>
      </c>
      <c r="AL115" s="142">
        <v>0</v>
      </c>
      <c r="AM115" s="142">
        <v>0</v>
      </c>
      <c r="AN115" s="142">
        <v>0</v>
      </c>
      <c r="AO115" s="142">
        <v>0</v>
      </c>
      <c r="AP115" s="142">
        <v>0</v>
      </c>
      <c r="AQ115" s="142">
        <v>0</v>
      </c>
      <c r="AR115" s="142">
        <v>0</v>
      </c>
      <c r="AS115" s="142">
        <v>0</v>
      </c>
      <c r="AT115" s="142">
        <v>0</v>
      </c>
      <c r="AU115" s="142">
        <v>0</v>
      </c>
      <c r="AV115" s="142">
        <v>0</v>
      </c>
      <c r="AW115" s="142">
        <v>0</v>
      </c>
    </row>
    <row r="116" spans="18:49" x14ac:dyDescent="0.25">
      <c r="R116" s="141">
        <f t="shared" si="1"/>
        <v>2504.2962253436954</v>
      </c>
      <c r="S116" s="142">
        <v>0</v>
      </c>
      <c r="T116" s="142">
        <v>0</v>
      </c>
      <c r="U116" s="142">
        <v>0</v>
      </c>
      <c r="V116" s="142">
        <v>0</v>
      </c>
      <c r="W116" s="142">
        <v>0</v>
      </c>
      <c r="X116" s="142">
        <v>0</v>
      </c>
      <c r="Y116" s="142">
        <v>0</v>
      </c>
      <c r="Z116" s="142">
        <v>0</v>
      </c>
      <c r="AA116" s="142">
        <v>0</v>
      </c>
      <c r="AB116" s="142">
        <v>0</v>
      </c>
      <c r="AC116" s="142">
        <v>0</v>
      </c>
      <c r="AD116" s="142">
        <v>0</v>
      </c>
      <c r="AE116" s="142">
        <v>0</v>
      </c>
      <c r="AF116" s="142">
        <v>0</v>
      </c>
      <c r="AG116" s="142">
        <v>0</v>
      </c>
      <c r="AH116" s="142">
        <v>0</v>
      </c>
      <c r="AI116" s="142">
        <v>0</v>
      </c>
      <c r="AJ116" s="142">
        <v>0</v>
      </c>
      <c r="AK116" s="142">
        <v>0</v>
      </c>
      <c r="AL116" s="142">
        <v>0</v>
      </c>
      <c r="AM116" s="142">
        <v>0</v>
      </c>
      <c r="AN116" s="142">
        <v>0</v>
      </c>
      <c r="AO116" s="142">
        <v>0</v>
      </c>
      <c r="AP116" s="142">
        <v>0</v>
      </c>
      <c r="AQ116" s="142">
        <v>0</v>
      </c>
      <c r="AR116" s="142">
        <v>0</v>
      </c>
      <c r="AS116" s="142">
        <v>0</v>
      </c>
      <c r="AT116" s="142">
        <v>0</v>
      </c>
      <c r="AU116" s="142">
        <v>0</v>
      </c>
      <c r="AV116" s="142">
        <v>0</v>
      </c>
      <c r="AW116" s="142">
        <v>0</v>
      </c>
    </row>
    <row r="117" spans="18:49" x14ac:dyDescent="0.25">
      <c r="R117" s="141">
        <f t="shared" si="1"/>
        <v>2561.2120486469612</v>
      </c>
      <c r="S117" s="142">
        <v>0</v>
      </c>
      <c r="T117" s="142">
        <v>0</v>
      </c>
      <c r="U117" s="142">
        <v>0</v>
      </c>
      <c r="V117" s="142">
        <v>0</v>
      </c>
      <c r="W117" s="142">
        <v>0</v>
      </c>
      <c r="X117" s="142">
        <v>0</v>
      </c>
      <c r="Y117" s="142">
        <v>0</v>
      </c>
      <c r="Z117" s="142">
        <v>0</v>
      </c>
      <c r="AA117" s="142">
        <v>0</v>
      </c>
      <c r="AB117" s="142">
        <v>0</v>
      </c>
      <c r="AC117" s="142">
        <v>0</v>
      </c>
      <c r="AD117" s="142">
        <v>0</v>
      </c>
      <c r="AE117" s="142">
        <v>0</v>
      </c>
      <c r="AF117" s="142">
        <v>0</v>
      </c>
      <c r="AG117" s="142">
        <v>0</v>
      </c>
      <c r="AH117" s="142">
        <v>0</v>
      </c>
      <c r="AI117" s="142">
        <v>0</v>
      </c>
      <c r="AJ117" s="142">
        <v>0</v>
      </c>
      <c r="AK117" s="142">
        <v>0</v>
      </c>
      <c r="AL117" s="142">
        <v>0</v>
      </c>
      <c r="AM117" s="142">
        <v>0</v>
      </c>
      <c r="AN117" s="142">
        <v>0</v>
      </c>
      <c r="AO117" s="142">
        <v>0</v>
      </c>
      <c r="AP117" s="142">
        <v>0</v>
      </c>
      <c r="AQ117" s="142">
        <v>0</v>
      </c>
      <c r="AR117" s="142">
        <v>0</v>
      </c>
      <c r="AS117" s="142">
        <v>0</v>
      </c>
      <c r="AT117" s="142">
        <v>0</v>
      </c>
      <c r="AU117" s="142">
        <v>0</v>
      </c>
      <c r="AV117" s="142">
        <v>0</v>
      </c>
      <c r="AW117" s="142">
        <v>0</v>
      </c>
    </row>
    <row r="118" spans="18:49" x14ac:dyDescent="0.25">
      <c r="R118" s="141">
        <f t="shared" si="1"/>
        <v>2618.1278719502275</v>
      </c>
      <c r="S118" s="142">
        <v>0</v>
      </c>
      <c r="T118" s="142">
        <v>0</v>
      </c>
      <c r="U118" s="142">
        <v>0</v>
      </c>
      <c r="V118" s="142">
        <v>0</v>
      </c>
      <c r="W118" s="142">
        <v>0</v>
      </c>
      <c r="X118" s="142">
        <v>0</v>
      </c>
      <c r="Y118" s="142">
        <v>0</v>
      </c>
      <c r="Z118" s="142">
        <v>0</v>
      </c>
      <c r="AA118" s="142">
        <v>0</v>
      </c>
      <c r="AB118" s="142">
        <v>0</v>
      </c>
      <c r="AC118" s="142">
        <v>0</v>
      </c>
      <c r="AD118" s="142">
        <v>0</v>
      </c>
      <c r="AE118" s="142">
        <v>0</v>
      </c>
      <c r="AF118" s="142">
        <v>0</v>
      </c>
      <c r="AG118" s="142">
        <v>0</v>
      </c>
      <c r="AH118" s="142">
        <v>0</v>
      </c>
      <c r="AI118" s="142">
        <v>0</v>
      </c>
      <c r="AJ118" s="142">
        <v>0</v>
      </c>
      <c r="AK118" s="142">
        <v>0</v>
      </c>
      <c r="AL118" s="142">
        <v>0</v>
      </c>
      <c r="AM118" s="142">
        <v>0</v>
      </c>
      <c r="AN118" s="142">
        <v>0</v>
      </c>
      <c r="AO118" s="142">
        <v>0</v>
      </c>
      <c r="AP118" s="142">
        <v>0</v>
      </c>
      <c r="AQ118" s="142">
        <v>0</v>
      </c>
      <c r="AR118" s="142">
        <v>0</v>
      </c>
      <c r="AS118" s="142">
        <v>0</v>
      </c>
      <c r="AT118" s="142">
        <v>0</v>
      </c>
      <c r="AU118" s="142">
        <v>0</v>
      </c>
      <c r="AV118" s="142">
        <v>0</v>
      </c>
      <c r="AW118" s="142">
        <v>0</v>
      </c>
    </row>
    <row r="119" spans="18:49" x14ac:dyDescent="0.25">
      <c r="R119" s="141">
        <f t="shared" si="1"/>
        <v>2675.0436952534928</v>
      </c>
      <c r="S119" s="142">
        <v>0</v>
      </c>
      <c r="T119" s="142">
        <v>0</v>
      </c>
      <c r="U119" s="142">
        <v>0</v>
      </c>
      <c r="V119" s="142">
        <v>0</v>
      </c>
      <c r="W119" s="142">
        <v>0</v>
      </c>
      <c r="X119" s="142">
        <v>0</v>
      </c>
      <c r="Y119" s="142">
        <v>0</v>
      </c>
      <c r="Z119" s="142">
        <v>0</v>
      </c>
      <c r="AA119" s="142">
        <v>0</v>
      </c>
      <c r="AB119" s="142">
        <v>0</v>
      </c>
      <c r="AC119" s="142">
        <v>0</v>
      </c>
      <c r="AD119" s="142">
        <v>0</v>
      </c>
      <c r="AE119" s="142">
        <v>0</v>
      </c>
      <c r="AF119" s="142">
        <v>0</v>
      </c>
      <c r="AG119" s="142">
        <v>0</v>
      </c>
      <c r="AH119" s="142">
        <v>0</v>
      </c>
      <c r="AI119" s="142">
        <v>0</v>
      </c>
      <c r="AJ119" s="142">
        <v>0</v>
      </c>
      <c r="AK119" s="142">
        <v>0</v>
      </c>
      <c r="AL119" s="142">
        <v>0</v>
      </c>
      <c r="AM119" s="142">
        <v>0</v>
      </c>
      <c r="AN119" s="142">
        <v>0</v>
      </c>
      <c r="AO119" s="142">
        <v>0</v>
      </c>
      <c r="AP119" s="142">
        <v>0</v>
      </c>
      <c r="AQ119" s="142">
        <v>0</v>
      </c>
      <c r="AR119" s="142">
        <v>0</v>
      </c>
      <c r="AS119" s="142">
        <v>0</v>
      </c>
      <c r="AT119" s="142">
        <v>0</v>
      </c>
      <c r="AU119" s="142">
        <v>0</v>
      </c>
      <c r="AV119" s="142">
        <v>0</v>
      </c>
      <c r="AW119" s="142">
        <v>0</v>
      </c>
    </row>
    <row r="120" spans="18:49" x14ac:dyDescent="0.25">
      <c r="R120" s="141">
        <f t="shared" si="1"/>
        <v>2731.9595185567591</v>
      </c>
      <c r="S120" s="142">
        <v>0</v>
      </c>
      <c r="T120" s="142">
        <v>0</v>
      </c>
      <c r="U120" s="142">
        <v>0</v>
      </c>
      <c r="V120" s="142">
        <v>0</v>
      </c>
      <c r="W120" s="142">
        <v>0</v>
      </c>
      <c r="X120" s="142">
        <v>0</v>
      </c>
      <c r="Y120" s="142">
        <v>0</v>
      </c>
      <c r="Z120" s="142">
        <v>0</v>
      </c>
      <c r="AA120" s="142">
        <v>0</v>
      </c>
      <c r="AB120" s="142">
        <v>0</v>
      </c>
      <c r="AC120" s="142">
        <v>0</v>
      </c>
      <c r="AD120" s="142">
        <v>0</v>
      </c>
      <c r="AE120" s="142">
        <v>0</v>
      </c>
      <c r="AF120" s="142">
        <v>0</v>
      </c>
      <c r="AG120" s="142">
        <v>0</v>
      </c>
      <c r="AH120" s="142">
        <v>0</v>
      </c>
      <c r="AI120" s="142">
        <v>0</v>
      </c>
      <c r="AJ120" s="142">
        <v>0</v>
      </c>
      <c r="AK120" s="142">
        <v>0</v>
      </c>
      <c r="AL120" s="142">
        <v>0</v>
      </c>
      <c r="AM120" s="142">
        <v>0</v>
      </c>
      <c r="AN120" s="142">
        <v>0</v>
      </c>
      <c r="AO120" s="142">
        <v>0</v>
      </c>
      <c r="AP120" s="142">
        <v>0</v>
      </c>
      <c r="AQ120" s="142">
        <v>0</v>
      </c>
      <c r="AR120" s="142">
        <v>0</v>
      </c>
      <c r="AS120" s="142">
        <v>0</v>
      </c>
      <c r="AT120" s="142">
        <v>0</v>
      </c>
      <c r="AU120" s="142">
        <v>0</v>
      </c>
      <c r="AV120" s="142">
        <v>0</v>
      </c>
      <c r="AW120" s="142">
        <v>0</v>
      </c>
    </row>
    <row r="121" spans="18:49" x14ac:dyDescent="0.25">
      <c r="R121" s="141">
        <f t="shared" si="1"/>
        <v>2788.8753418600245</v>
      </c>
      <c r="S121" s="142">
        <v>0</v>
      </c>
      <c r="T121" s="142">
        <v>0</v>
      </c>
      <c r="U121" s="142">
        <v>0</v>
      </c>
      <c r="V121" s="142">
        <v>0</v>
      </c>
      <c r="W121" s="142">
        <v>0</v>
      </c>
      <c r="X121" s="142">
        <v>0</v>
      </c>
      <c r="Y121" s="142">
        <v>0</v>
      </c>
      <c r="Z121" s="142">
        <v>0</v>
      </c>
      <c r="AA121" s="142">
        <v>0</v>
      </c>
      <c r="AB121" s="142">
        <v>0</v>
      </c>
      <c r="AC121" s="142">
        <v>0</v>
      </c>
      <c r="AD121" s="142">
        <v>0</v>
      </c>
      <c r="AE121" s="142">
        <v>0</v>
      </c>
      <c r="AF121" s="142">
        <v>0</v>
      </c>
      <c r="AG121" s="142">
        <v>0</v>
      </c>
      <c r="AH121" s="142">
        <v>0</v>
      </c>
      <c r="AI121" s="142">
        <v>0</v>
      </c>
      <c r="AJ121" s="142">
        <v>0</v>
      </c>
      <c r="AK121" s="142">
        <v>0</v>
      </c>
      <c r="AL121" s="142">
        <v>0</v>
      </c>
      <c r="AM121" s="142">
        <v>0</v>
      </c>
      <c r="AN121" s="142">
        <v>0</v>
      </c>
      <c r="AO121" s="142">
        <v>0</v>
      </c>
      <c r="AP121" s="142">
        <v>0</v>
      </c>
      <c r="AQ121" s="142">
        <v>0</v>
      </c>
      <c r="AR121" s="142">
        <v>0</v>
      </c>
      <c r="AS121" s="142">
        <v>0</v>
      </c>
      <c r="AT121" s="142">
        <v>0</v>
      </c>
      <c r="AU121" s="142">
        <v>0</v>
      </c>
      <c r="AV121" s="142">
        <v>0</v>
      </c>
      <c r="AW121" s="142">
        <v>0</v>
      </c>
    </row>
    <row r="122" spans="18:49" x14ac:dyDescent="0.25">
      <c r="R122" s="141">
        <f t="shared" si="1"/>
        <v>2845.7911651632903</v>
      </c>
      <c r="S122" s="142">
        <v>0</v>
      </c>
      <c r="T122" s="142">
        <v>0</v>
      </c>
      <c r="U122" s="142">
        <v>0</v>
      </c>
      <c r="V122" s="142">
        <v>0</v>
      </c>
      <c r="W122" s="142">
        <v>0</v>
      </c>
      <c r="X122" s="142">
        <v>0</v>
      </c>
      <c r="Y122" s="142">
        <v>0</v>
      </c>
      <c r="Z122" s="142">
        <v>0</v>
      </c>
      <c r="AA122" s="142">
        <v>0</v>
      </c>
      <c r="AB122" s="142">
        <v>0</v>
      </c>
      <c r="AC122" s="142">
        <v>0</v>
      </c>
      <c r="AD122" s="142">
        <v>0</v>
      </c>
      <c r="AE122" s="142">
        <v>0</v>
      </c>
      <c r="AF122" s="142">
        <v>0</v>
      </c>
      <c r="AG122" s="142">
        <v>0</v>
      </c>
      <c r="AH122" s="142">
        <v>0</v>
      </c>
      <c r="AI122" s="142">
        <v>0</v>
      </c>
      <c r="AJ122" s="142">
        <v>0</v>
      </c>
      <c r="AK122" s="142">
        <v>0</v>
      </c>
      <c r="AL122" s="142">
        <v>0</v>
      </c>
      <c r="AM122" s="142">
        <v>0</v>
      </c>
      <c r="AN122" s="142">
        <v>0</v>
      </c>
      <c r="AO122" s="142">
        <v>0</v>
      </c>
      <c r="AP122" s="142">
        <v>0</v>
      </c>
      <c r="AQ122" s="142">
        <v>0</v>
      </c>
      <c r="AR122" s="142">
        <v>0</v>
      </c>
      <c r="AS122" s="142">
        <v>0</v>
      </c>
      <c r="AT122" s="142">
        <v>0</v>
      </c>
      <c r="AU122" s="142">
        <v>0</v>
      </c>
      <c r="AV122" s="142">
        <v>0</v>
      </c>
      <c r="AW122" s="142">
        <v>0</v>
      </c>
    </row>
    <row r="123" spans="18:49" x14ac:dyDescent="0.25">
      <c r="R123" s="141">
        <f t="shared" si="1"/>
        <v>2902.7069884665561</v>
      </c>
      <c r="S123" s="142">
        <v>0</v>
      </c>
      <c r="T123" s="142">
        <v>0</v>
      </c>
      <c r="U123" s="142">
        <v>0</v>
      </c>
      <c r="V123" s="142">
        <v>0</v>
      </c>
      <c r="W123" s="142">
        <v>0</v>
      </c>
      <c r="X123" s="142">
        <v>0</v>
      </c>
      <c r="Y123" s="142">
        <v>0</v>
      </c>
      <c r="Z123" s="142">
        <v>0</v>
      </c>
      <c r="AA123" s="142">
        <v>0</v>
      </c>
      <c r="AB123" s="142">
        <v>0</v>
      </c>
      <c r="AC123" s="142">
        <v>0</v>
      </c>
      <c r="AD123" s="142">
        <v>0</v>
      </c>
      <c r="AE123" s="142">
        <v>0</v>
      </c>
      <c r="AF123" s="142">
        <v>0</v>
      </c>
      <c r="AG123" s="142">
        <v>0</v>
      </c>
      <c r="AH123" s="142">
        <v>0</v>
      </c>
      <c r="AI123" s="142">
        <v>0</v>
      </c>
      <c r="AJ123" s="142">
        <v>0</v>
      </c>
      <c r="AK123" s="142">
        <v>0</v>
      </c>
      <c r="AL123" s="142">
        <v>0</v>
      </c>
      <c r="AM123" s="142">
        <v>0</v>
      </c>
      <c r="AN123" s="142">
        <v>0</v>
      </c>
      <c r="AO123" s="142">
        <v>0</v>
      </c>
      <c r="AP123" s="142">
        <v>0</v>
      </c>
      <c r="AQ123" s="142">
        <v>0</v>
      </c>
      <c r="AR123" s="142">
        <v>0</v>
      </c>
      <c r="AS123" s="142">
        <v>0</v>
      </c>
      <c r="AT123" s="142">
        <v>0</v>
      </c>
      <c r="AU123" s="142">
        <v>0</v>
      </c>
      <c r="AV123" s="142">
        <v>0</v>
      </c>
      <c r="AW123" s="142">
        <v>0</v>
      </c>
    </row>
    <row r="124" spans="18:49" x14ac:dyDescent="0.25">
      <c r="R124" s="141">
        <f t="shared" si="1"/>
        <v>2959.622811769822</v>
      </c>
      <c r="S124" s="142">
        <v>0</v>
      </c>
      <c r="T124" s="142">
        <v>0</v>
      </c>
      <c r="U124" s="142">
        <v>0</v>
      </c>
      <c r="V124" s="142">
        <v>0</v>
      </c>
      <c r="W124" s="142">
        <v>0</v>
      </c>
      <c r="X124" s="142">
        <v>0</v>
      </c>
      <c r="Y124" s="142">
        <v>0</v>
      </c>
      <c r="Z124" s="142">
        <v>0</v>
      </c>
      <c r="AA124" s="142">
        <v>0</v>
      </c>
      <c r="AB124" s="142">
        <v>0</v>
      </c>
      <c r="AC124" s="142">
        <v>0</v>
      </c>
      <c r="AD124" s="142">
        <v>0</v>
      </c>
      <c r="AE124" s="142">
        <v>0</v>
      </c>
      <c r="AF124" s="142">
        <v>0</v>
      </c>
      <c r="AG124" s="142">
        <v>0</v>
      </c>
      <c r="AH124" s="142">
        <v>0</v>
      </c>
      <c r="AI124" s="142">
        <v>0</v>
      </c>
      <c r="AJ124" s="142">
        <v>0</v>
      </c>
      <c r="AK124" s="142">
        <v>0</v>
      </c>
      <c r="AL124" s="142">
        <v>0</v>
      </c>
      <c r="AM124" s="142">
        <v>0</v>
      </c>
      <c r="AN124" s="142">
        <v>0</v>
      </c>
      <c r="AO124" s="142">
        <v>0</v>
      </c>
      <c r="AP124" s="142">
        <v>0</v>
      </c>
      <c r="AQ124" s="142">
        <v>0</v>
      </c>
      <c r="AR124" s="142">
        <v>0</v>
      </c>
      <c r="AS124" s="142">
        <v>0</v>
      </c>
      <c r="AT124" s="142">
        <v>0</v>
      </c>
      <c r="AU124" s="142">
        <v>0</v>
      </c>
      <c r="AV124" s="142">
        <v>0</v>
      </c>
      <c r="AW124" s="142">
        <v>0</v>
      </c>
    </row>
    <row r="125" spans="18:49" x14ac:dyDescent="0.25">
      <c r="R125" s="141">
        <f t="shared" si="1"/>
        <v>3016.5386350730882</v>
      </c>
      <c r="S125" s="142">
        <v>0</v>
      </c>
      <c r="T125" s="142">
        <v>0</v>
      </c>
      <c r="U125" s="142">
        <v>0</v>
      </c>
      <c r="V125" s="142">
        <v>0</v>
      </c>
      <c r="W125" s="142">
        <v>0</v>
      </c>
      <c r="X125" s="142">
        <v>0</v>
      </c>
      <c r="Y125" s="142">
        <v>0</v>
      </c>
      <c r="Z125" s="142">
        <v>0</v>
      </c>
      <c r="AA125" s="142">
        <v>0</v>
      </c>
      <c r="AB125" s="142">
        <v>0</v>
      </c>
      <c r="AC125" s="142">
        <v>0</v>
      </c>
      <c r="AD125" s="142">
        <v>0</v>
      </c>
      <c r="AE125" s="142">
        <v>0</v>
      </c>
      <c r="AF125" s="142">
        <v>0</v>
      </c>
      <c r="AG125" s="142">
        <v>0</v>
      </c>
      <c r="AH125" s="142">
        <v>0</v>
      </c>
      <c r="AI125" s="142">
        <v>0</v>
      </c>
      <c r="AJ125" s="142">
        <v>0</v>
      </c>
      <c r="AK125" s="142">
        <v>0</v>
      </c>
      <c r="AL125" s="142">
        <v>0</v>
      </c>
      <c r="AM125" s="142">
        <v>0</v>
      </c>
      <c r="AN125" s="142">
        <v>0</v>
      </c>
      <c r="AO125" s="142">
        <v>0</v>
      </c>
      <c r="AP125" s="142">
        <v>0</v>
      </c>
      <c r="AQ125" s="142">
        <v>0</v>
      </c>
      <c r="AR125" s="142">
        <v>0</v>
      </c>
      <c r="AS125" s="142">
        <v>0</v>
      </c>
      <c r="AT125" s="142">
        <v>0</v>
      </c>
      <c r="AU125" s="142">
        <v>0</v>
      </c>
      <c r="AV125" s="142">
        <v>0</v>
      </c>
      <c r="AW125" s="142">
        <v>0</v>
      </c>
    </row>
    <row r="126" spans="18:49" x14ac:dyDescent="0.25">
      <c r="R126" s="141">
        <f t="shared" si="1"/>
        <v>3073.4544583763536</v>
      </c>
      <c r="S126" s="142">
        <v>0</v>
      </c>
      <c r="T126" s="142">
        <v>0</v>
      </c>
      <c r="U126" s="142">
        <v>0</v>
      </c>
      <c r="V126" s="142">
        <v>0</v>
      </c>
      <c r="W126" s="142">
        <v>0</v>
      </c>
      <c r="X126" s="142">
        <v>0</v>
      </c>
      <c r="Y126" s="142">
        <v>0</v>
      </c>
      <c r="Z126" s="142">
        <v>0</v>
      </c>
      <c r="AA126" s="142">
        <v>0</v>
      </c>
      <c r="AB126" s="142">
        <v>0</v>
      </c>
      <c r="AC126" s="142">
        <v>0</v>
      </c>
      <c r="AD126" s="142">
        <v>0</v>
      </c>
      <c r="AE126" s="142">
        <v>0</v>
      </c>
      <c r="AF126" s="142">
        <v>0</v>
      </c>
      <c r="AG126" s="142">
        <v>0</v>
      </c>
      <c r="AH126" s="142">
        <v>0</v>
      </c>
      <c r="AI126" s="142">
        <v>0</v>
      </c>
      <c r="AJ126" s="142">
        <v>0</v>
      </c>
      <c r="AK126" s="142">
        <v>0</v>
      </c>
      <c r="AL126" s="142">
        <v>0</v>
      </c>
      <c r="AM126" s="142">
        <v>0</v>
      </c>
      <c r="AN126" s="142">
        <v>0</v>
      </c>
      <c r="AO126" s="142">
        <v>0</v>
      </c>
      <c r="AP126" s="142">
        <v>0</v>
      </c>
      <c r="AQ126" s="142">
        <v>0</v>
      </c>
      <c r="AR126" s="142">
        <v>0</v>
      </c>
      <c r="AS126" s="142">
        <v>0</v>
      </c>
      <c r="AT126" s="142">
        <v>0</v>
      </c>
      <c r="AU126" s="142">
        <v>0</v>
      </c>
      <c r="AV126" s="142">
        <v>0</v>
      </c>
      <c r="AW126" s="142">
        <v>0</v>
      </c>
    </row>
    <row r="127" spans="18:49" x14ac:dyDescent="0.25">
      <c r="R127" s="141">
        <f t="shared" si="1"/>
        <v>3130.370281679619</v>
      </c>
      <c r="S127" s="142">
        <v>0</v>
      </c>
      <c r="T127" s="142">
        <v>0</v>
      </c>
      <c r="U127" s="142">
        <v>0</v>
      </c>
      <c r="V127" s="142">
        <v>0</v>
      </c>
      <c r="W127" s="142">
        <v>0</v>
      </c>
      <c r="X127" s="142">
        <v>0</v>
      </c>
      <c r="Y127" s="142">
        <v>0</v>
      </c>
      <c r="Z127" s="142">
        <v>0</v>
      </c>
      <c r="AA127" s="142">
        <v>0</v>
      </c>
      <c r="AB127" s="142">
        <v>0</v>
      </c>
      <c r="AC127" s="142">
        <v>0</v>
      </c>
      <c r="AD127" s="142">
        <v>0</v>
      </c>
      <c r="AE127" s="142">
        <v>0</v>
      </c>
      <c r="AF127" s="142">
        <v>0</v>
      </c>
      <c r="AG127" s="142">
        <v>0</v>
      </c>
      <c r="AH127" s="142">
        <v>0</v>
      </c>
      <c r="AI127" s="142">
        <v>0</v>
      </c>
      <c r="AJ127" s="142">
        <v>0</v>
      </c>
      <c r="AK127" s="142">
        <v>0</v>
      </c>
      <c r="AL127" s="142">
        <v>0</v>
      </c>
      <c r="AM127" s="142">
        <v>0</v>
      </c>
      <c r="AN127" s="142">
        <v>0</v>
      </c>
      <c r="AO127" s="142">
        <v>0</v>
      </c>
      <c r="AP127" s="142">
        <v>0</v>
      </c>
      <c r="AQ127" s="142">
        <v>0</v>
      </c>
      <c r="AR127" s="142">
        <v>0</v>
      </c>
      <c r="AS127" s="142">
        <v>0</v>
      </c>
      <c r="AT127" s="142">
        <v>0</v>
      </c>
      <c r="AU127" s="142">
        <v>0</v>
      </c>
      <c r="AV127" s="142">
        <v>0</v>
      </c>
      <c r="AW127" s="142">
        <v>0</v>
      </c>
    </row>
    <row r="128" spans="18:49" x14ac:dyDescent="0.25">
      <c r="R128" s="141">
        <f t="shared" si="1"/>
        <v>3187.2861049828853</v>
      </c>
      <c r="S128" s="142">
        <v>0</v>
      </c>
      <c r="T128" s="142">
        <v>0</v>
      </c>
      <c r="U128" s="142">
        <v>0</v>
      </c>
      <c r="V128" s="142">
        <v>0</v>
      </c>
      <c r="W128" s="142">
        <v>0</v>
      </c>
      <c r="X128" s="142">
        <v>0</v>
      </c>
      <c r="Y128" s="142">
        <v>0</v>
      </c>
      <c r="Z128" s="142">
        <v>0</v>
      </c>
      <c r="AA128" s="142">
        <v>0</v>
      </c>
      <c r="AB128" s="142">
        <v>0</v>
      </c>
      <c r="AC128" s="142">
        <v>0</v>
      </c>
      <c r="AD128" s="142">
        <v>0</v>
      </c>
      <c r="AE128" s="142">
        <v>0</v>
      </c>
      <c r="AF128" s="142">
        <v>0</v>
      </c>
      <c r="AG128" s="142">
        <v>0</v>
      </c>
      <c r="AH128" s="142">
        <v>0</v>
      </c>
      <c r="AI128" s="142">
        <v>0</v>
      </c>
      <c r="AJ128" s="142">
        <v>0</v>
      </c>
      <c r="AK128" s="142">
        <v>0</v>
      </c>
      <c r="AL128" s="142">
        <v>0</v>
      </c>
      <c r="AM128" s="142">
        <v>0</v>
      </c>
      <c r="AN128" s="142">
        <v>0</v>
      </c>
      <c r="AO128" s="142">
        <v>0</v>
      </c>
      <c r="AP128" s="142">
        <v>0</v>
      </c>
      <c r="AQ128" s="142">
        <v>0</v>
      </c>
      <c r="AR128" s="142">
        <v>0</v>
      </c>
      <c r="AS128" s="142">
        <v>0</v>
      </c>
      <c r="AT128" s="142">
        <v>0</v>
      </c>
      <c r="AU128" s="142">
        <v>0</v>
      </c>
      <c r="AV128" s="142">
        <v>0</v>
      </c>
      <c r="AW128" s="142">
        <v>0</v>
      </c>
    </row>
    <row r="129" spans="17:49" x14ac:dyDescent="0.25">
      <c r="R129" s="141">
        <f t="shared" si="1"/>
        <v>3244.2019282861506</v>
      </c>
      <c r="S129" s="142">
        <v>0</v>
      </c>
      <c r="T129" s="142">
        <v>0</v>
      </c>
      <c r="U129" s="142">
        <v>0</v>
      </c>
      <c r="V129" s="142">
        <v>0</v>
      </c>
      <c r="W129" s="142">
        <v>0</v>
      </c>
      <c r="X129" s="142">
        <v>0</v>
      </c>
      <c r="Y129" s="142">
        <v>0</v>
      </c>
      <c r="Z129" s="142">
        <v>0</v>
      </c>
      <c r="AA129" s="142">
        <v>0</v>
      </c>
      <c r="AB129" s="142">
        <v>0</v>
      </c>
      <c r="AC129" s="142">
        <v>0</v>
      </c>
      <c r="AD129" s="142">
        <v>0</v>
      </c>
      <c r="AE129" s="142">
        <v>0</v>
      </c>
      <c r="AF129" s="142">
        <v>0</v>
      </c>
      <c r="AG129" s="142">
        <v>0</v>
      </c>
      <c r="AH129" s="142">
        <v>0</v>
      </c>
      <c r="AI129" s="142">
        <v>0</v>
      </c>
      <c r="AJ129" s="142">
        <v>0</v>
      </c>
      <c r="AK129" s="142">
        <v>0</v>
      </c>
      <c r="AL129" s="142">
        <v>0</v>
      </c>
      <c r="AM129" s="142">
        <v>0</v>
      </c>
      <c r="AN129" s="142">
        <v>0</v>
      </c>
      <c r="AO129" s="142">
        <v>0</v>
      </c>
      <c r="AP129" s="142">
        <v>0</v>
      </c>
      <c r="AQ129" s="142">
        <v>0</v>
      </c>
      <c r="AR129" s="142">
        <v>0</v>
      </c>
      <c r="AS129" s="142">
        <v>0</v>
      </c>
      <c r="AT129" s="142">
        <v>0</v>
      </c>
      <c r="AU129" s="142">
        <v>0</v>
      </c>
      <c r="AV129" s="142">
        <v>0</v>
      </c>
      <c r="AW129" s="142">
        <v>0</v>
      </c>
    </row>
    <row r="130" spans="17:49" x14ac:dyDescent="0.25">
      <c r="R130" s="141">
        <f t="shared" si="1"/>
        <v>3301.1177515894169</v>
      </c>
      <c r="S130" s="142">
        <v>0</v>
      </c>
      <c r="T130" s="142">
        <v>0</v>
      </c>
      <c r="U130" s="142">
        <v>0</v>
      </c>
      <c r="V130" s="142">
        <v>0</v>
      </c>
      <c r="W130" s="142">
        <v>0</v>
      </c>
      <c r="X130" s="142">
        <v>0</v>
      </c>
      <c r="Y130" s="142">
        <v>0</v>
      </c>
      <c r="Z130" s="142">
        <v>0</v>
      </c>
      <c r="AA130" s="142">
        <v>0</v>
      </c>
      <c r="AB130" s="142">
        <v>0</v>
      </c>
      <c r="AC130" s="142">
        <v>0</v>
      </c>
      <c r="AD130" s="142">
        <v>0</v>
      </c>
      <c r="AE130" s="142">
        <v>0</v>
      </c>
      <c r="AF130" s="142">
        <v>0</v>
      </c>
      <c r="AG130" s="142">
        <v>0</v>
      </c>
      <c r="AH130" s="142">
        <v>0</v>
      </c>
      <c r="AI130" s="142">
        <v>0</v>
      </c>
      <c r="AJ130" s="142">
        <v>0</v>
      </c>
      <c r="AK130" s="142">
        <v>0</v>
      </c>
      <c r="AL130" s="142">
        <v>0</v>
      </c>
      <c r="AM130" s="142">
        <v>0</v>
      </c>
      <c r="AN130" s="142">
        <v>0</v>
      </c>
      <c r="AO130" s="142">
        <v>0</v>
      </c>
      <c r="AP130" s="142">
        <v>0</v>
      </c>
      <c r="AQ130" s="142">
        <v>0</v>
      </c>
      <c r="AR130" s="142">
        <v>0</v>
      </c>
      <c r="AS130" s="142">
        <v>0</v>
      </c>
      <c r="AT130" s="142">
        <v>0</v>
      </c>
      <c r="AU130" s="142">
        <v>0</v>
      </c>
      <c r="AV130" s="142">
        <v>0</v>
      </c>
      <c r="AW130" s="142">
        <v>0</v>
      </c>
    </row>
    <row r="131" spans="17:49" x14ac:dyDescent="0.25">
      <c r="R131" s="141">
        <f t="shared" si="1"/>
        <v>3358.0335748926823</v>
      </c>
      <c r="S131" s="142">
        <v>0</v>
      </c>
      <c r="T131" s="142">
        <v>0</v>
      </c>
      <c r="U131" s="142">
        <v>0</v>
      </c>
      <c r="V131" s="142">
        <v>0</v>
      </c>
      <c r="W131" s="142">
        <v>0</v>
      </c>
      <c r="X131" s="142">
        <v>0</v>
      </c>
      <c r="Y131" s="142">
        <v>0</v>
      </c>
      <c r="Z131" s="142">
        <v>0</v>
      </c>
      <c r="AA131" s="142">
        <v>0</v>
      </c>
      <c r="AB131" s="142">
        <v>0</v>
      </c>
      <c r="AC131" s="142">
        <v>0</v>
      </c>
      <c r="AD131" s="142">
        <v>0</v>
      </c>
      <c r="AE131" s="142">
        <v>0</v>
      </c>
      <c r="AF131" s="142">
        <v>0</v>
      </c>
      <c r="AG131" s="142">
        <v>0</v>
      </c>
      <c r="AH131" s="142">
        <v>0</v>
      </c>
      <c r="AI131" s="142">
        <v>0</v>
      </c>
      <c r="AJ131" s="142">
        <v>0</v>
      </c>
      <c r="AK131" s="142">
        <v>0</v>
      </c>
      <c r="AL131" s="142">
        <v>0</v>
      </c>
      <c r="AM131" s="142">
        <v>0</v>
      </c>
      <c r="AN131" s="142">
        <v>0</v>
      </c>
      <c r="AO131" s="142">
        <v>0</v>
      </c>
      <c r="AP131" s="142">
        <v>0</v>
      </c>
      <c r="AQ131" s="142">
        <v>0</v>
      </c>
      <c r="AR131" s="142">
        <v>0</v>
      </c>
      <c r="AS131" s="142">
        <v>0</v>
      </c>
      <c r="AT131" s="142">
        <v>0</v>
      </c>
      <c r="AU131" s="142">
        <v>0</v>
      </c>
      <c r="AV131" s="142">
        <v>0</v>
      </c>
      <c r="AW131" s="142">
        <v>0</v>
      </c>
    </row>
    <row r="132" spans="17:49" x14ac:dyDescent="0.25">
      <c r="R132" s="141">
        <f t="shared" si="1"/>
        <v>3500</v>
      </c>
      <c r="S132" s="142"/>
      <c r="T132" s="142"/>
      <c r="U132" s="142"/>
      <c r="V132" s="142"/>
      <c r="W132" s="142"/>
      <c r="X132" s="142"/>
      <c r="Y132" s="142"/>
      <c r="Z132" s="142"/>
      <c r="AA132" s="142"/>
      <c r="AB132" s="142"/>
      <c r="AC132" s="142"/>
      <c r="AD132" s="142"/>
      <c r="AE132" s="142"/>
      <c r="AF132" s="142"/>
      <c r="AG132" s="142"/>
      <c r="AH132" s="142"/>
      <c r="AI132" s="142"/>
      <c r="AJ132" s="142"/>
      <c r="AK132" s="142"/>
      <c r="AL132" s="142"/>
      <c r="AM132" s="142"/>
      <c r="AN132" s="142"/>
      <c r="AO132" s="142"/>
      <c r="AP132" s="142"/>
      <c r="AQ132" s="142"/>
      <c r="AR132" s="142"/>
      <c r="AS132" s="142"/>
      <c r="AT132" s="142"/>
      <c r="AU132" s="142"/>
      <c r="AV132" s="142"/>
      <c r="AW132" s="142"/>
    </row>
    <row r="133" spans="17:49" x14ac:dyDescent="0.25">
      <c r="R133" s="139"/>
    </row>
    <row r="134" spans="17:49" x14ac:dyDescent="0.25">
      <c r="R134" s="139"/>
    </row>
    <row r="135" spans="17:49" x14ac:dyDescent="0.25">
      <c r="R135" s="139"/>
    </row>
    <row r="136" spans="17:49" x14ac:dyDescent="0.25">
      <c r="R136" s="139"/>
    </row>
    <row r="137" spans="17:49" x14ac:dyDescent="0.25">
      <c r="R137" s="139"/>
    </row>
    <row r="138" spans="17:49" x14ac:dyDescent="0.25">
      <c r="R138" s="139"/>
    </row>
    <row r="139" spans="17:49" x14ac:dyDescent="0.25">
      <c r="Q139" s="14" t="s">
        <v>356</v>
      </c>
      <c r="R139" s="139"/>
      <c r="S139" t="s">
        <v>288</v>
      </c>
    </row>
    <row r="140" spans="17:49" x14ac:dyDescent="0.25">
      <c r="R140" s="141"/>
      <c r="S140" s="146">
        <f>S2</f>
        <v>0</v>
      </c>
      <c r="T140" s="146">
        <f t="shared" ref="T140:AW140" si="2">T2</f>
        <v>0.54861937440778163</v>
      </c>
      <c r="U140" s="146">
        <f t="shared" si="2"/>
        <v>1.2215284824543391</v>
      </c>
      <c r="V140" s="146">
        <f t="shared" si="2"/>
        <v>1.8944375905008966</v>
      </c>
      <c r="W140" s="146">
        <f t="shared" si="2"/>
        <v>2.5673466985474538</v>
      </c>
      <c r="X140" s="146">
        <f t="shared" si="2"/>
        <v>3.240255806594011</v>
      </c>
      <c r="Y140" s="146">
        <f t="shared" si="2"/>
        <v>3.9131649146405678</v>
      </c>
      <c r="Z140" s="146">
        <f t="shared" si="2"/>
        <v>4.5860740226871259</v>
      </c>
      <c r="AA140" s="146">
        <f t="shared" si="2"/>
        <v>5.2589831307336823</v>
      </c>
      <c r="AB140" s="146">
        <f t="shared" si="2"/>
        <v>5.9298016445403494</v>
      </c>
      <c r="AC140" s="146">
        <f t="shared" si="2"/>
        <v>6.5910900552124971</v>
      </c>
      <c r="AD140" s="146">
        <f t="shared" si="2"/>
        <v>7.2421904817248244</v>
      </c>
      <c r="AE140" s="146">
        <f t="shared" si="2"/>
        <v>7.8831029240773267</v>
      </c>
      <c r="AF140" s="146">
        <f t="shared" si="2"/>
        <v>8.5138273822700103</v>
      </c>
      <c r="AG140" s="146">
        <f t="shared" si="2"/>
        <v>9.1343638563028691</v>
      </c>
      <c r="AH140" s="146">
        <f t="shared" si="2"/>
        <v>9.7447123461759038</v>
      </c>
      <c r="AI140" s="146">
        <f t="shared" si="2"/>
        <v>10.344872851889122</v>
      </c>
      <c r="AJ140" s="146">
        <f t="shared" si="2"/>
        <v>10.934884056391423</v>
      </c>
      <c r="AK140" s="146">
        <f t="shared" si="2"/>
        <v>11.516198138590029</v>
      </c>
      <c r="AL140" s="146">
        <f t="shared" si="2"/>
        <v>12.089552858163778</v>
      </c>
      <c r="AM140" s="146">
        <f t="shared" si="2"/>
        <v>12.654948215112661</v>
      </c>
      <c r="AN140" s="146">
        <f t="shared" si="2"/>
        <v>13.212384209436692</v>
      </c>
      <c r="AO140" s="146">
        <f t="shared" si="2"/>
        <v>13.761860841135855</v>
      </c>
      <c r="AP140" s="146">
        <f t="shared" si="2"/>
        <v>14.303378110210154</v>
      </c>
      <c r="AQ140" s="146">
        <f t="shared" si="2"/>
        <v>14.836936016659598</v>
      </c>
      <c r="AR140" s="146">
        <f t="shared" si="2"/>
        <v>15.362534560484178</v>
      </c>
      <c r="AS140" s="146">
        <f t="shared" si="2"/>
        <v>15.880173741683901</v>
      </c>
      <c r="AT140" s="146">
        <f t="shared" si="2"/>
        <v>16.389853560258761</v>
      </c>
      <c r="AU140" s="146">
        <f t="shared" si="2"/>
        <v>16.891574016208757</v>
      </c>
      <c r="AV140" s="146">
        <f t="shared" si="2"/>
        <v>17.385335109533898</v>
      </c>
      <c r="AW140" s="146">
        <f t="shared" si="2"/>
        <v>17.871136840234175</v>
      </c>
    </row>
    <row r="141" spans="17:49" x14ac:dyDescent="0.25">
      <c r="Q141" t="s">
        <v>287</v>
      </c>
      <c r="R141" s="141"/>
      <c r="S141" s="142"/>
      <c r="T141" s="142"/>
      <c r="U141" s="142"/>
      <c r="V141" s="142"/>
      <c r="W141" s="142"/>
      <c r="X141" s="142"/>
      <c r="Y141" s="142"/>
      <c r="Z141" s="142"/>
      <c r="AA141" s="142"/>
      <c r="AB141" s="142"/>
      <c r="AC141" s="142"/>
      <c r="AD141" s="142"/>
      <c r="AE141" s="142"/>
      <c r="AF141" s="142"/>
      <c r="AG141" s="142"/>
      <c r="AH141" s="142"/>
      <c r="AI141" s="142"/>
      <c r="AJ141" s="142"/>
      <c r="AK141" s="142"/>
      <c r="AL141" s="142"/>
      <c r="AM141" s="142"/>
      <c r="AN141" s="142"/>
      <c r="AO141" s="142"/>
      <c r="AP141" s="142"/>
      <c r="AQ141" s="142"/>
      <c r="AR141" s="142"/>
      <c r="AS141" s="142"/>
      <c r="AT141" s="142"/>
      <c r="AU141" s="142"/>
      <c r="AV141" s="142"/>
      <c r="AW141" s="142"/>
    </row>
    <row r="142" spans="17:49" x14ac:dyDescent="0.25">
      <c r="R142" s="141">
        <f>R3</f>
        <v>0</v>
      </c>
      <c r="S142" s="142">
        <v>0</v>
      </c>
      <c r="T142" s="142">
        <v>0</v>
      </c>
      <c r="U142" s="142">
        <v>0</v>
      </c>
      <c r="V142" s="142">
        <v>0</v>
      </c>
      <c r="W142" s="142">
        <v>0</v>
      </c>
      <c r="X142" s="142">
        <v>0</v>
      </c>
      <c r="Y142" s="142">
        <v>0</v>
      </c>
      <c r="Z142" s="142">
        <v>0</v>
      </c>
      <c r="AA142" s="142">
        <v>0</v>
      </c>
      <c r="AB142" s="142">
        <v>0</v>
      </c>
      <c r="AC142" s="142">
        <v>0</v>
      </c>
      <c r="AD142" s="142">
        <v>0</v>
      </c>
      <c r="AE142" s="142">
        <v>0</v>
      </c>
      <c r="AF142" s="142">
        <v>0</v>
      </c>
      <c r="AG142" s="142">
        <v>0</v>
      </c>
      <c r="AH142" s="142">
        <v>0</v>
      </c>
      <c r="AI142" s="142">
        <v>0</v>
      </c>
      <c r="AJ142" s="142">
        <v>0</v>
      </c>
      <c r="AK142" s="142">
        <v>0</v>
      </c>
      <c r="AL142" s="142">
        <v>0</v>
      </c>
      <c r="AM142" s="142">
        <v>0</v>
      </c>
      <c r="AN142" s="142">
        <v>0</v>
      </c>
      <c r="AO142" s="142">
        <v>0</v>
      </c>
      <c r="AP142" s="142">
        <v>0</v>
      </c>
      <c r="AQ142" s="142">
        <v>0</v>
      </c>
      <c r="AR142" s="142">
        <v>0</v>
      </c>
      <c r="AS142" s="142">
        <v>0</v>
      </c>
      <c r="AT142" s="142">
        <v>0</v>
      </c>
      <c r="AU142" s="142">
        <v>0</v>
      </c>
      <c r="AV142" s="142">
        <v>0</v>
      </c>
      <c r="AW142" s="142">
        <v>0</v>
      </c>
    </row>
    <row r="143" spans="17:49" x14ac:dyDescent="0.25">
      <c r="R143" s="141">
        <f t="shared" ref="R143:R202" si="3">R4</f>
        <v>56.915823303265803</v>
      </c>
      <c r="S143" s="142">
        <v>0</v>
      </c>
      <c r="T143" s="142">
        <v>0</v>
      </c>
      <c r="U143" s="142">
        <v>0</v>
      </c>
      <c r="V143" s="142">
        <v>0</v>
      </c>
      <c r="W143" s="142">
        <v>0</v>
      </c>
      <c r="X143" s="142">
        <v>0</v>
      </c>
      <c r="Y143" s="142">
        <v>0</v>
      </c>
      <c r="Z143" s="142">
        <v>0</v>
      </c>
      <c r="AA143" s="142">
        <v>0</v>
      </c>
      <c r="AB143" s="142">
        <v>0</v>
      </c>
      <c r="AC143" s="142">
        <v>0</v>
      </c>
      <c r="AD143" s="142">
        <v>0</v>
      </c>
      <c r="AE143" s="142">
        <v>0</v>
      </c>
      <c r="AF143" s="142">
        <v>0</v>
      </c>
      <c r="AG143" s="142">
        <v>0</v>
      </c>
      <c r="AH143" s="142">
        <v>0</v>
      </c>
      <c r="AI143" s="142">
        <v>0</v>
      </c>
      <c r="AJ143" s="142">
        <v>0</v>
      </c>
      <c r="AK143" s="142">
        <v>0</v>
      </c>
      <c r="AL143" s="142">
        <v>0</v>
      </c>
      <c r="AM143" s="142">
        <v>0</v>
      </c>
      <c r="AN143" s="142">
        <v>0</v>
      </c>
      <c r="AO143" s="142">
        <v>0</v>
      </c>
      <c r="AP143" s="142">
        <v>0</v>
      </c>
      <c r="AQ143" s="142">
        <v>0</v>
      </c>
      <c r="AR143" s="142">
        <v>0</v>
      </c>
      <c r="AS143" s="142">
        <v>0</v>
      </c>
      <c r="AT143" s="142">
        <v>0</v>
      </c>
      <c r="AU143" s="142">
        <v>0</v>
      </c>
      <c r="AV143" s="142">
        <v>0</v>
      </c>
      <c r="AW143" s="142">
        <v>0</v>
      </c>
    </row>
    <row r="144" spans="17:49" x14ac:dyDescent="0.25">
      <c r="R144" s="141">
        <f t="shared" si="3"/>
        <v>113.83164660653161</v>
      </c>
      <c r="S144" s="142">
        <v>0</v>
      </c>
      <c r="T144" s="142">
        <v>0</v>
      </c>
      <c r="U144" s="142">
        <v>0</v>
      </c>
      <c r="V144" s="142">
        <v>0</v>
      </c>
      <c r="W144" s="142">
        <v>0</v>
      </c>
      <c r="X144" s="142">
        <v>0</v>
      </c>
      <c r="Y144" s="142">
        <v>0</v>
      </c>
      <c r="Z144" s="142">
        <v>0</v>
      </c>
      <c r="AA144" s="142">
        <v>0</v>
      </c>
      <c r="AB144" s="142">
        <v>0</v>
      </c>
      <c r="AC144" s="142">
        <v>0</v>
      </c>
      <c r="AD144" s="142">
        <v>0</v>
      </c>
      <c r="AE144" s="142">
        <v>0</v>
      </c>
      <c r="AF144" s="142">
        <v>0</v>
      </c>
      <c r="AG144" s="142">
        <v>0</v>
      </c>
      <c r="AH144" s="142">
        <v>0</v>
      </c>
      <c r="AI144" s="142">
        <v>0</v>
      </c>
      <c r="AJ144" s="142">
        <v>0</v>
      </c>
      <c r="AK144" s="142">
        <v>0</v>
      </c>
      <c r="AL144" s="142">
        <v>0</v>
      </c>
      <c r="AM144" s="142">
        <v>0</v>
      </c>
      <c r="AN144" s="142">
        <v>0</v>
      </c>
      <c r="AO144" s="142">
        <v>0</v>
      </c>
      <c r="AP144" s="142">
        <v>0</v>
      </c>
      <c r="AQ144" s="142">
        <v>0</v>
      </c>
      <c r="AR144" s="142">
        <v>0</v>
      </c>
      <c r="AS144" s="142">
        <v>0</v>
      </c>
      <c r="AT144" s="142">
        <v>0</v>
      </c>
      <c r="AU144" s="142">
        <v>0</v>
      </c>
      <c r="AV144" s="142">
        <v>0</v>
      </c>
      <c r="AW144" s="142">
        <v>0</v>
      </c>
    </row>
    <row r="145" spans="18:49" x14ac:dyDescent="0.25">
      <c r="R145" s="141">
        <f t="shared" si="3"/>
        <v>170.74746990979745</v>
      </c>
      <c r="S145" s="142">
        <v>0</v>
      </c>
      <c r="T145" s="142">
        <v>0</v>
      </c>
      <c r="U145" s="142">
        <v>0</v>
      </c>
      <c r="V145" s="142">
        <v>0</v>
      </c>
      <c r="W145" s="142">
        <v>0</v>
      </c>
      <c r="X145" s="142">
        <v>0</v>
      </c>
      <c r="Y145" s="142">
        <v>0</v>
      </c>
      <c r="Z145" s="142">
        <v>0</v>
      </c>
      <c r="AA145" s="142">
        <v>0</v>
      </c>
      <c r="AB145" s="142">
        <v>0</v>
      </c>
      <c r="AC145" s="142">
        <v>0</v>
      </c>
      <c r="AD145" s="142">
        <v>0</v>
      </c>
      <c r="AE145" s="142">
        <v>0</v>
      </c>
      <c r="AF145" s="142">
        <v>0</v>
      </c>
      <c r="AG145" s="142">
        <v>0</v>
      </c>
      <c r="AH145" s="142">
        <v>0</v>
      </c>
      <c r="AI145" s="142">
        <v>0</v>
      </c>
      <c r="AJ145" s="142">
        <v>0</v>
      </c>
      <c r="AK145" s="142">
        <v>0</v>
      </c>
      <c r="AL145" s="142">
        <v>0</v>
      </c>
      <c r="AM145" s="142">
        <v>0</v>
      </c>
      <c r="AN145" s="142">
        <v>0</v>
      </c>
      <c r="AO145" s="142">
        <v>0</v>
      </c>
      <c r="AP145" s="142">
        <v>0</v>
      </c>
      <c r="AQ145" s="142">
        <v>0</v>
      </c>
      <c r="AR145" s="142">
        <v>0</v>
      </c>
      <c r="AS145" s="142">
        <v>0</v>
      </c>
      <c r="AT145" s="142">
        <v>0</v>
      </c>
      <c r="AU145" s="142">
        <v>0</v>
      </c>
      <c r="AV145" s="142">
        <v>0</v>
      </c>
      <c r="AW145" s="142">
        <v>0</v>
      </c>
    </row>
    <row r="146" spans="18:49" x14ac:dyDescent="0.25">
      <c r="R146" s="141">
        <f t="shared" si="3"/>
        <v>227.66329321306321</v>
      </c>
      <c r="S146" s="142">
        <v>0</v>
      </c>
      <c r="T146" s="142">
        <v>0</v>
      </c>
      <c r="U146" s="142">
        <v>0</v>
      </c>
      <c r="V146" s="142">
        <v>0</v>
      </c>
      <c r="W146" s="142">
        <v>0</v>
      </c>
      <c r="X146" s="142">
        <v>0</v>
      </c>
      <c r="Y146" s="142">
        <v>0</v>
      </c>
      <c r="Z146" s="142">
        <v>0</v>
      </c>
      <c r="AA146" s="142">
        <v>0</v>
      </c>
      <c r="AB146" s="142">
        <v>0</v>
      </c>
      <c r="AC146" s="142">
        <v>0</v>
      </c>
      <c r="AD146" s="142">
        <v>0</v>
      </c>
      <c r="AE146" s="142">
        <v>0</v>
      </c>
      <c r="AF146" s="142">
        <v>0</v>
      </c>
      <c r="AG146" s="142">
        <v>0</v>
      </c>
      <c r="AH146" s="142">
        <v>0</v>
      </c>
      <c r="AI146" s="142">
        <v>0</v>
      </c>
      <c r="AJ146" s="142">
        <v>0</v>
      </c>
      <c r="AK146" s="142">
        <v>0</v>
      </c>
      <c r="AL146" s="142">
        <v>0</v>
      </c>
      <c r="AM146" s="142">
        <v>0</v>
      </c>
      <c r="AN146" s="142">
        <v>0</v>
      </c>
      <c r="AO146" s="142">
        <v>0</v>
      </c>
      <c r="AP146" s="142">
        <v>0</v>
      </c>
      <c r="AQ146" s="142">
        <v>0</v>
      </c>
      <c r="AR146" s="142">
        <v>0</v>
      </c>
      <c r="AS146" s="142">
        <v>0</v>
      </c>
      <c r="AT146" s="142">
        <v>0</v>
      </c>
      <c r="AU146" s="142">
        <v>0</v>
      </c>
      <c r="AV146" s="142">
        <v>0</v>
      </c>
      <c r="AW146" s="142">
        <v>0</v>
      </c>
    </row>
    <row r="147" spans="18:49" x14ac:dyDescent="0.25">
      <c r="R147" s="141">
        <f t="shared" si="3"/>
        <v>284.57911651632901</v>
      </c>
      <c r="S147" s="142">
        <v>0</v>
      </c>
      <c r="T147" s="142">
        <v>0</v>
      </c>
      <c r="U147" s="142">
        <v>0</v>
      </c>
      <c r="V147" s="142">
        <v>0</v>
      </c>
      <c r="W147" s="142">
        <v>0</v>
      </c>
      <c r="X147" s="142">
        <v>0</v>
      </c>
      <c r="Y147" s="142">
        <v>0</v>
      </c>
      <c r="Z147" s="142">
        <v>0</v>
      </c>
      <c r="AA147" s="142">
        <v>0</v>
      </c>
      <c r="AB147" s="142">
        <v>0</v>
      </c>
      <c r="AC147" s="142">
        <v>0</v>
      </c>
      <c r="AD147" s="142">
        <v>0</v>
      </c>
      <c r="AE147" s="142">
        <v>0</v>
      </c>
      <c r="AF147" s="142">
        <v>0</v>
      </c>
      <c r="AG147" s="142">
        <v>0</v>
      </c>
      <c r="AH147" s="142">
        <v>0</v>
      </c>
      <c r="AI147" s="142">
        <v>0</v>
      </c>
      <c r="AJ147" s="142">
        <v>0</v>
      </c>
      <c r="AK147" s="142">
        <v>0</v>
      </c>
      <c r="AL147" s="142">
        <v>0</v>
      </c>
      <c r="AM147" s="142">
        <v>0</v>
      </c>
      <c r="AN147" s="142">
        <v>0</v>
      </c>
      <c r="AO147" s="142">
        <v>0</v>
      </c>
      <c r="AP147" s="142">
        <v>0</v>
      </c>
      <c r="AQ147" s="142">
        <v>0</v>
      </c>
      <c r="AR147" s="142">
        <v>0</v>
      </c>
      <c r="AS147" s="142">
        <v>0</v>
      </c>
      <c r="AT147" s="142">
        <v>0</v>
      </c>
      <c r="AU147" s="142">
        <v>0</v>
      </c>
      <c r="AV147" s="142">
        <v>0</v>
      </c>
      <c r="AW147" s="142">
        <v>0</v>
      </c>
    </row>
    <row r="148" spans="18:49" x14ac:dyDescent="0.25">
      <c r="R148" s="141">
        <f t="shared" si="3"/>
        <v>341.49493981959489</v>
      </c>
      <c r="S148" s="142">
        <v>0</v>
      </c>
      <c r="T148" s="142">
        <v>0</v>
      </c>
      <c r="U148" s="142">
        <v>0</v>
      </c>
      <c r="V148" s="142">
        <v>0</v>
      </c>
      <c r="W148" s="142">
        <v>0</v>
      </c>
      <c r="X148" s="142">
        <v>0</v>
      </c>
      <c r="Y148" s="142">
        <v>0</v>
      </c>
      <c r="Z148" s="142">
        <v>0</v>
      </c>
      <c r="AA148" s="142">
        <v>0</v>
      </c>
      <c r="AB148" s="142">
        <v>0</v>
      </c>
      <c r="AC148" s="142">
        <v>0</v>
      </c>
      <c r="AD148" s="142">
        <v>0</v>
      </c>
      <c r="AE148" s="142">
        <v>0</v>
      </c>
      <c r="AF148" s="142">
        <v>0</v>
      </c>
      <c r="AG148" s="142">
        <v>0</v>
      </c>
      <c r="AH148" s="142">
        <v>0</v>
      </c>
      <c r="AI148" s="142">
        <v>0</v>
      </c>
      <c r="AJ148" s="142">
        <v>0</v>
      </c>
      <c r="AK148" s="142">
        <v>0</v>
      </c>
      <c r="AL148" s="142">
        <v>0</v>
      </c>
      <c r="AM148" s="142">
        <v>0</v>
      </c>
      <c r="AN148" s="142">
        <v>0</v>
      </c>
      <c r="AO148" s="142">
        <v>0</v>
      </c>
      <c r="AP148" s="142">
        <v>0</v>
      </c>
      <c r="AQ148" s="142">
        <v>0</v>
      </c>
      <c r="AR148" s="142">
        <v>0</v>
      </c>
      <c r="AS148" s="142">
        <v>0</v>
      </c>
      <c r="AT148" s="142">
        <v>0</v>
      </c>
      <c r="AU148" s="142">
        <v>0</v>
      </c>
      <c r="AV148" s="142">
        <v>0</v>
      </c>
      <c r="AW148" s="142">
        <v>0</v>
      </c>
    </row>
    <row r="149" spans="18:49" x14ac:dyDescent="0.25">
      <c r="R149" s="141">
        <f t="shared" si="3"/>
        <v>398.41076312286066</v>
      </c>
      <c r="S149" s="142">
        <v>0</v>
      </c>
      <c r="T149" s="142">
        <v>0</v>
      </c>
      <c r="U149" s="142">
        <v>0</v>
      </c>
      <c r="V149" s="142">
        <v>0</v>
      </c>
      <c r="W149" s="142">
        <v>0</v>
      </c>
      <c r="X149" s="142">
        <v>0</v>
      </c>
      <c r="Y149" s="142">
        <v>0</v>
      </c>
      <c r="Z149" s="142">
        <v>0</v>
      </c>
      <c r="AA149" s="142">
        <v>0</v>
      </c>
      <c r="AB149" s="142">
        <v>0</v>
      </c>
      <c r="AC149" s="142">
        <v>0</v>
      </c>
      <c r="AD149" s="142">
        <v>0</v>
      </c>
      <c r="AE149" s="142">
        <v>0</v>
      </c>
      <c r="AF149" s="142">
        <v>0</v>
      </c>
      <c r="AG149" s="142">
        <v>0</v>
      </c>
      <c r="AH149" s="142">
        <v>0</v>
      </c>
      <c r="AI149" s="142">
        <v>0</v>
      </c>
      <c r="AJ149" s="142">
        <v>0</v>
      </c>
      <c r="AK149" s="142">
        <v>0</v>
      </c>
      <c r="AL149" s="142">
        <v>0</v>
      </c>
      <c r="AM149" s="142">
        <v>0</v>
      </c>
      <c r="AN149" s="142">
        <v>0</v>
      </c>
      <c r="AO149" s="142">
        <v>0</v>
      </c>
      <c r="AP149" s="142">
        <v>0</v>
      </c>
      <c r="AQ149" s="142">
        <v>0</v>
      </c>
      <c r="AR149" s="142">
        <v>0</v>
      </c>
      <c r="AS149" s="142">
        <v>0</v>
      </c>
      <c r="AT149" s="142">
        <v>0</v>
      </c>
      <c r="AU149" s="142">
        <v>0</v>
      </c>
      <c r="AV149" s="142">
        <v>0</v>
      </c>
      <c r="AW149" s="142">
        <v>0</v>
      </c>
    </row>
    <row r="150" spans="18:49" x14ac:dyDescent="0.25">
      <c r="R150" s="141">
        <f t="shared" si="3"/>
        <v>455.32658642612643</v>
      </c>
      <c r="S150" s="142">
        <v>0</v>
      </c>
      <c r="T150" s="142">
        <v>0</v>
      </c>
      <c r="U150" s="142">
        <v>0</v>
      </c>
      <c r="V150" s="142">
        <v>0</v>
      </c>
      <c r="W150" s="142">
        <v>0</v>
      </c>
      <c r="X150" s="142">
        <v>0</v>
      </c>
      <c r="Y150" s="142">
        <v>0</v>
      </c>
      <c r="Z150" s="142">
        <v>0</v>
      </c>
      <c r="AA150" s="142">
        <v>0</v>
      </c>
      <c r="AB150" s="142">
        <v>0</v>
      </c>
      <c r="AC150" s="142">
        <v>0</v>
      </c>
      <c r="AD150" s="142">
        <v>0</v>
      </c>
      <c r="AE150" s="142">
        <v>0</v>
      </c>
      <c r="AF150" s="142">
        <v>0</v>
      </c>
      <c r="AG150" s="142">
        <v>0</v>
      </c>
      <c r="AH150" s="142">
        <v>0</v>
      </c>
      <c r="AI150" s="142">
        <v>0</v>
      </c>
      <c r="AJ150" s="142">
        <v>0</v>
      </c>
      <c r="AK150" s="142">
        <v>0</v>
      </c>
      <c r="AL150" s="142">
        <v>0</v>
      </c>
      <c r="AM150" s="142">
        <v>0</v>
      </c>
      <c r="AN150" s="142">
        <v>0</v>
      </c>
      <c r="AO150" s="142">
        <v>0</v>
      </c>
      <c r="AP150" s="142">
        <v>0</v>
      </c>
      <c r="AQ150" s="142">
        <v>0</v>
      </c>
      <c r="AR150" s="142">
        <v>0</v>
      </c>
      <c r="AS150" s="142">
        <v>0</v>
      </c>
      <c r="AT150" s="142">
        <v>0</v>
      </c>
      <c r="AU150" s="142">
        <v>0</v>
      </c>
      <c r="AV150" s="142">
        <v>0</v>
      </c>
      <c r="AW150" s="142">
        <v>0</v>
      </c>
    </row>
    <row r="151" spans="18:49" x14ac:dyDescent="0.25">
      <c r="R151" s="141">
        <f t="shared" si="3"/>
        <v>512.24240972939231</v>
      </c>
      <c r="S151" s="142">
        <v>0</v>
      </c>
      <c r="T151" s="142">
        <v>0</v>
      </c>
      <c r="U151" s="142">
        <v>0</v>
      </c>
      <c r="V151" s="142">
        <v>0</v>
      </c>
      <c r="W151" s="142">
        <v>0</v>
      </c>
      <c r="X151" s="142">
        <v>0</v>
      </c>
      <c r="Y151" s="142">
        <v>0</v>
      </c>
      <c r="Z151" s="142">
        <v>0</v>
      </c>
      <c r="AA151" s="142">
        <v>0</v>
      </c>
      <c r="AB151" s="142">
        <v>0</v>
      </c>
      <c r="AC151" s="142">
        <v>0</v>
      </c>
      <c r="AD151" s="142">
        <v>0</v>
      </c>
      <c r="AE151" s="142">
        <v>0</v>
      </c>
      <c r="AF151" s="142">
        <v>0</v>
      </c>
      <c r="AG151" s="142">
        <v>0</v>
      </c>
      <c r="AH151" s="142">
        <v>0</v>
      </c>
      <c r="AI151" s="142">
        <v>0</v>
      </c>
      <c r="AJ151" s="142">
        <v>0</v>
      </c>
      <c r="AK151" s="142">
        <v>0</v>
      </c>
      <c r="AL151" s="142">
        <v>0</v>
      </c>
      <c r="AM151" s="142">
        <v>0</v>
      </c>
      <c r="AN151" s="142">
        <v>0</v>
      </c>
      <c r="AO151" s="142">
        <v>0</v>
      </c>
      <c r="AP151" s="142">
        <v>0</v>
      </c>
      <c r="AQ151" s="142">
        <v>0</v>
      </c>
      <c r="AR151" s="142">
        <v>0</v>
      </c>
      <c r="AS151" s="142">
        <v>0</v>
      </c>
      <c r="AT151" s="142">
        <v>0</v>
      </c>
      <c r="AU151" s="142">
        <v>0</v>
      </c>
      <c r="AV151" s="142">
        <v>0</v>
      </c>
      <c r="AW151" s="142">
        <v>0</v>
      </c>
    </row>
    <row r="152" spans="18:49" x14ac:dyDescent="0.25">
      <c r="R152" s="141">
        <f t="shared" si="3"/>
        <v>569.15823303265802</v>
      </c>
      <c r="S152" s="142">
        <v>0</v>
      </c>
      <c r="T152" s="142">
        <v>0</v>
      </c>
      <c r="U152" s="142">
        <v>0</v>
      </c>
      <c r="V152" s="142">
        <v>0</v>
      </c>
      <c r="W152" s="142">
        <v>0</v>
      </c>
      <c r="X152" s="142">
        <v>0</v>
      </c>
      <c r="Y152" s="142">
        <v>0</v>
      </c>
      <c r="Z152" s="142">
        <v>0</v>
      </c>
      <c r="AA152" s="142">
        <v>0</v>
      </c>
      <c r="AB152" s="142">
        <v>0</v>
      </c>
      <c r="AC152" s="142">
        <v>0</v>
      </c>
      <c r="AD152" s="142">
        <v>0</v>
      </c>
      <c r="AE152" s="142">
        <v>0</v>
      </c>
      <c r="AF152" s="142">
        <v>0</v>
      </c>
      <c r="AG152" s="142">
        <v>0</v>
      </c>
      <c r="AH152" s="142">
        <v>0</v>
      </c>
      <c r="AI152" s="142">
        <v>0</v>
      </c>
      <c r="AJ152" s="142">
        <v>0</v>
      </c>
      <c r="AK152" s="142">
        <v>0</v>
      </c>
      <c r="AL152" s="142">
        <v>0</v>
      </c>
      <c r="AM152" s="142">
        <v>0</v>
      </c>
      <c r="AN152" s="142">
        <v>0</v>
      </c>
      <c r="AO152" s="142">
        <v>0</v>
      </c>
      <c r="AP152" s="142">
        <v>0</v>
      </c>
      <c r="AQ152" s="142">
        <v>0</v>
      </c>
      <c r="AR152" s="142">
        <v>0</v>
      </c>
      <c r="AS152" s="142">
        <v>0</v>
      </c>
      <c r="AT152" s="142">
        <v>0</v>
      </c>
      <c r="AU152" s="142">
        <v>0</v>
      </c>
      <c r="AV152" s="142">
        <v>0</v>
      </c>
      <c r="AW152" s="142">
        <v>0</v>
      </c>
    </row>
    <row r="153" spans="18:49" x14ac:dyDescent="0.25">
      <c r="R153" s="141">
        <f t="shared" si="3"/>
        <v>626.07405633592384</v>
      </c>
      <c r="S153" s="142">
        <v>0</v>
      </c>
      <c r="T153" s="142">
        <v>0</v>
      </c>
      <c r="U153" s="142">
        <v>0</v>
      </c>
      <c r="V153" s="142">
        <v>0</v>
      </c>
      <c r="W153" s="142">
        <v>0</v>
      </c>
      <c r="X153" s="142">
        <v>0</v>
      </c>
      <c r="Y153" s="142">
        <v>0</v>
      </c>
      <c r="Z153" s="142">
        <v>0</v>
      </c>
      <c r="AA153" s="142">
        <v>0</v>
      </c>
      <c r="AB153" s="142">
        <v>0</v>
      </c>
      <c r="AC153" s="142">
        <v>0</v>
      </c>
      <c r="AD153" s="142">
        <v>0</v>
      </c>
      <c r="AE153" s="142">
        <v>0</v>
      </c>
      <c r="AF153" s="142">
        <v>0</v>
      </c>
      <c r="AG153" s="142">
        <v>0</v>
      </c>
      <c r="AH153" s="142">
        <v>0</v>
      </c>
      <c r="AI153" s="142">
        <v>0</v>
      </c>
      <c r="AJ153" s="142">
        <v>0</v>
      </c>
      <c r="AK153" s="142">
        <v>0</v>
      </c>
      <c r="AL153" s="142">
        <v>0</v>
      </c>
      <c r="AM153" s="142">
        <v>0</v>
      </c>
      <c r="AN153" s="142">
        <v>0</v>
      </c>
      <c r="AO153" s="142">
        <v>0</v>
      </c>
      <c r="AP153" s="142">
        <v>0</v>
      </c>
      <c r="AQ153" s="142">
        <v>0</v>
      </c>
      <c r="AR153" s="142">
        <v>0</v>
      </c>
      <c r="AS153" s="142">
        <v>0</v>
      </c>
      <c r="AT153" s="142">
        <v>0</v>
      </c>
      <c r="AU153" s="142">
        <v>0</v>
      </c>
      <c r="AV153" s="142">
        <v>0</v>
      </c>
      <c r="AW153" s="142">
        <v>0</v>
      </c>
    </row>
    <row r="154" spans="18:49" x14ac:dyDescent="0.25">
      <c r="R154" s="141">
        <f t="shared" si="3"/>
        <v>682.98987963918978</v>
      </c>
      <c r="S154" s="142">
        <v>0</v>
      </c>
      <c r="T154" s="142">
        <v>0</v>
      </c>
      <c r="U154" s="142">
        <v>0</v>
      </c>
      <c r="V154" s="142">
        <v>0</v>
      </c>
      <c r="W154" s="142">
        <v>0</v>
      </c>
      <c r="X154" s="142">
        <v>0</v>
      </c>
      <c r="Y154" s="142">
        <v>0</v>
      </c>
      <c r="Z154" s="142">
        <v>0</v>
      </c>
      <c r="AA154" s="142">
        <v>0</v>
      </c>
      <c r="AB154" s="142">
        <v>0</v>
      </c>
      <c r="AC154" s="142">
        <v>0</v>
      </c>
      <c r="AD154" s="142">
        <v>0</v>
      </c>
      <c r="AE154" s="142">
        <v>0</v>
      </c>
      <c r="AF154" s="142">
        <v>0</v>
      </c>
      <c r="AG154" s="142">
        <v>0</v>
      </c>
      <c r="AH154" s="142">
        <v>0</v>
      </c>
      <c r="AI154" s="142">
        <v>0</v>
      </c>
      <c r="AJ154" s="142">
        <v>0</v>
      </c>
      <c r="AK154" s="142">
        <v>0</v>
      </c>
      <c r="AL154" s="142">
        <v>0</v>
      </c>
      <c r="AM154" s="142">
        <v>0</v>
      </c>
      <c r="AN154" s="142">
        <v>0</v>
      </c>
      <c r="AO154" s="142">
        <v>0</v>
      </c>
      <c r="AP154" s="142">
        <v>0</v>
      </c>
      <c r="AQ154" s="142">
        <v>0</v>
      </c>
      <c r="AR154" s="142">
        <v>0</v>
      </c>
      <c r="AS154" s="142">
        <v>0</v>
      </c>
      <c r="AT154" s="142">
        <v>0</v>
      </c>
      <c r="AU154" s="142">
        <v>0</v>
      </c>
      <c r="AV154" s="142">
        <v>0</v>
      </c>
      <c r="AW154" s="142">
        <v>0</v>
      </c>
    </row>
    <row r="155" spans="18:49" x14ac:dyDescent="0.25">
      <c r="R155" s="141">
        <f t="shared" si="3"/>
        <v>739.90570294245549</v>
      </c>
      <c r="S155" s="142">
        <v>0</v>
      </c>
      <c r="T155" s="142">
        <v>0</v>
      </c>
      <c r="U155" s="142">
        <v>0</v>
      </c>
      <c r="V155" s="142">
        <v>0</v>
      </c>
      <c r="W155" s="142">
        <v>0</v>
      </c>
      <c r="X155" s="142">
        <v>0</v>
      </c>
      <c r="Y155" s="142">
        <v>0</v>
      </c>
      <c r="Z155" s="142">
        <v>0</v>
      </c>
      <c r="AA155" s="142">
        <v>0</v>
      </c>
      <c r="AB155" s="142">
        <v>0</v>
      </c>
      <c r="AC155" s="142">
        <v>0</v>
      </c>
      <c r="AD155" s="142">
        <v>0</v>
      </c>
      <c r="AE155" s="142">
        <v>0</v>
      </c>
      <c r="AF155" s="142">
        <v>0</v>
      </c>
      <c r="AG155" s="142">
        <v>0</v>
      </c>
      <c r="AH155" s="142">
        <v>0</v>
      </c>
      <c r="AI155" s="142">
        <v>0</v>
      </c>
      <c r="AJ155" s="142">
        <v>0</v>
      </c>
      <c r="AK155" s="142">
        <v>0</v>
      </c>
      <c r="AL155" s="142">
        <v>0</v>
      </c>
      <c r="AM155" s="142">
        <v>0</v>
      </c>
      <c r="AN155" s="142">
        <v>0</v>
      </c>
      <c r="AO155" s="142">
        <v>0</v>
      </c>
      <c r="AP155" s="142">
        <v>0</v>
      </c>
      <c r="AQ155" s="142">
        <v>0</v>
      </c>
      <c r="AR155" s="142">
        <v>0</v>
      </c>
      <c r="AS155" s="142">
        <v>0</v>
      </c>
      <c r="AT155" s="142">
        <v>0</v>
      </c>
      <c r="AU155" s="142">
        <v>0</v>
      </c>
      <c r="AV155" s="142">
        <v>0</v>
      </c>
      <c r="AW155" s="142">
        <v>0</v>
      </c>
    </row>
    <row r="156" spans="18:49" x14ac:dyDescent="0.25">
      <c r="R156" s="141">
        <f t="shared" si="3"/>
        <v>796.82152624572132</v>
      </c>
      <c r="S156" s="142">
        <v>0</v>
      </c>
      <c r="T156" s="142">
        <v>0</v>
      </c>
      <c r="U156" s="142">
        <v>0</v>
      </c>
      <c r="V156" s="142">
        <v>0</v>
      </c>
      <c r="W156" s="142">
        <v>0</v>
      </c>
      <c r="X156" s="142">
        <v>0</v>
      </c>
      <c r="Y156" s="142">
        <v>0</v>
      </c>
      <c r="Z156" s="142">
        <v>0</v>
      </c>
      <c r="AA156" s="142">
        <v>0</v>
      </c>
      <c r="AB156" s="142">
        <v>0</v>
      </c>
      <c r="AC156" s="142">
        <v>0</v>
      </c>
      <c r="AD156" s="142">
        <v>0</v>
      </c>
      <c r="AE156" s="142">
        <v>0</v>
      </c>
      <c r="AF156" s="142">
        <v>0</v>
      </c>
      <c r="AG156" s="142">
        <v>0</v>
      </c>
      <c r="AH156" s="142">
        <v>0</v>
      </c>
      <c r="AI156" s="142">
        <v>0</v>
      </c>
      <c r="AJ156" s="142">
        <v>0</v>
      </c>
      <c r="AK156" s="142">
        <v>0</v>
      </c>
      <c r="AL156" s="142">
        <v>0</v>
      </c>
      <c r="AM156" s="142">
        <v>0</v>
      </c>
      <c r="AN156" s="142">
        <v>0</v>
      </c>
      <c r="AO156" s="142">
        <v>0</v>
      </c>
      <c r="AP156" s="142">
        <v>0</v>
      </c>
      <c r="AQ156" s="142">
        <v>0</v>
      </c>
      <c r="AR156" s="142">
        <v>0</v>
      </c>
      <c r="AS156" s="142">
        <v>0</v>
      </c>
      <c r="AT156" s="142">
        <v>0</v>
      </c>
      <c r="AU156" s="142">
        <v>0</v>
      </c>
      <c r="AV156" s="142">
        <v>0</v>
      </c>
      <c r="AW156" s="142">
        <v>0</v>
      </c>
    </row>
    <row r="157" spans="18:49" x14ac:dyDescent="0.25">
      <c r="R157" s="141">
        <f t="shared" si="3"/>
        <v>853.73734954898703</v>
      </c>
      <c r="S157" s="142">
        <v>0</v>
      </c>
      <c r="T157" s="142">
        <v>0</v>
      </c>
      <c r="U157" s="142">
        <v>0</v>
      </c>
      <c r="V157" s="142">
        <v>0</v>
      </c>
      <c r="W157" s="142">
        <v>0</v>
      </c>
      <c r="X157" s="142">
        <v>0</v>
      </c>
      <c r="Y157" s="142">
        <v>0</v>
      </c>
      <c r="Z157" s="142">
        <v>0</v>
      </c>
      <c r="AA157" s="142">
        <v>0</v>
      </c>
      <c r="AB157" s="142">
        <v>0</v>
      </c>
      <c r="AC157" s="142">
        <v>0</v>
      </c>
      <c r="AD157" s="142">
        <v>0</v>
      </c>
      <c r="AE157" s="142">
        <v>0</v>
      </c>
      <c r="AF157" s="142">
        <v>0</v>
      </c>
      <c r="AG157" s="142">
        <v>0</v>
      </c>
      <c r="AH157" s="142">
        <v>0</v>
      </c>
      <c r="AI157" s="142">
        <v>0</v>
      </c>
      <c r="AJ157" s="142">
        <v>0</v>
      </c>
      <c r="AK157" s="142">
        <v>0</v>
      </c>
      <c r="AL157" s="142">
        <v>0</v>
      </c>
      <c r="AM157" s="142">
        <v>0</v>
      </c>
      <c r="AN157" s="142">
        <v>0</v>
      </c>
      <c r="AO157" s="142">
        <v>0</v>
      </c>
      <c r="AP157" s="142">
        <v>0</v>
      </c>
      <c r="AQ157" s="142">
        <v>0</v>
      </c>
      <c r="AR157" s="142">
        <v>0</v>
      </c>
      <c r="AS157" s="142">
        <v>0</v>
      </c>
      <c r="AT157" s="142">
        <v>0</v>
      </c>
      <c r="AU157" s="142">
        <v>0</v>
      </c>
      <c r="AV157" s="142">
        <v>0</v>
      </c>
      <c r="AW157" s="142">
        <v>0</v>
      </c>
    </row>
    <row r="158" spans="18:49" x14ac:dyDescent="0.25">
      <c r="R158" s="141">
        <f t="shared" si="3"/>
        <v>910.65317285225285</v>
      </c>
      <c r="S158" s="142">
        <v>0</v>
      </c>
      <c r="T158" s="142">
        <v>0</v>
      </c>
      <c r="U158" s="142">
        <v>0</v>
      </c>
      <c r="V158" s="142">
        <v>0</v>
      </c>
      <c r="W158" s="142">
        <v>0</v>
      </c>
      <c r="X158" s="142">
        <v>0</v>
      </c>
      <c r="Y158" s="142">
        <v>0</v>
      </c>
      <c r="Z158" s="142">
        <v>0</v>
      </c>
      <c r="AA158" s="142">
        <v>0</v>
      </c>
      <c r="AB158" s="142">
        <v>0</v>
      </c>
      <c r="AC158" s="142">
        <v>0</v>
      </c>
      <c r="AD158" s="142">
        <v>0</v>
      </c>
      <c r="AE158" s="142">
        <v>0</v>
      </c>
      <c r="AF158" s="142">
        <v>0</v>
      </c>
      <c r="AG158" s="142">
        <v>0</v>
      </c>
      <c r="AH158" s="142">
        <v>0</v>
      </c>
      <c r="AI158" s="142">
        <v>0</v>
      </c>
      <c r="AJ158" s="142">
        <v>0</v>
      </c>
      <c r="AK158" s="142">
        <v>0</v>
      </c>
      <c r="AL158" s="142">
        <v>0</v>
      </c>
      <c r="AM158" s="142">
        <v>0</v>
      </c>
      <c r="AN158" s="142">
        <v>0</v>
      </c>
      <c r="AO158" s="142">
        <v>0</v>
      </c>
      <c r="AP158" s="142">
        <v>0</v>
      </c>
      <c r="AQ158" s="142">
        <v>0</v>
      </c>
      <c r="AR158" s="142">
        <v>0</v>
      </c>
      <c r="AS158" s="142">
        <v>0</v>
      </c>
      <c r="AT158" s="142">
        <v>0</v>
      </c>
      <c r="AU158" s="142">
        <v>0</v>
      </c>
      <c r="AV158" s="142">
        <v>0</v>
      </c>
      <c r="AW158" s="142">
        <v>0</v>
      </c>
    </row>
    <row r="159" spans="18:49" x14ac:dyDescent="0.25">
      <c r="R159" s="141">
        <f t="shared" si="3"/>
        <v>967.56899615551868</v>
      </c>
      <c r="S159" s="142">
        <v>0</v>
      </c>
      <c r="T159" s="142">
        <v>0</v>
      </c>
      <c r="U159" s="142">
        <v>0</v>
      </c>
      <c r="V159" s="142">
        <v>0</v>
      </c>
      <c r="W159" s="142">
        <v>0</v>
      </c>
      <c r="X159" s="142">
        <v>0</v>
      </c>
      <c r="Y159" s="142">
        <v>0</v>
      </c>
      <c r="Z159" s="142">
        <v>0</v>
      </c>
      <c r="AA159" s="142">
        <v>0</v>
      </c>
      <c r="AB159" s="142">
        <v>0</v>
      </c>
      <c r="AC159" s="142">
        <v>0</v>
      </c>
      <c r="AD159" s="142">
        <v>0</v>
      </c>
      <c r="AE159" s="142">
        <v>0</v>
      </c>
      <c r="AF159" s="142">
        <v>0</v>
      </c>
      <c r="AG159" s="142">
        <v>0</v>
      </c>
      <c r="AH159" s="142">
        <v>0</v>
      </c>
      <c r="AI159" s="142">
        <v>0</v>
      </c>
      <c r="AJ159" s="142">
        <v>0</v>
      </c>
      <c r="AK159" s="142">
        <v>0</v>
      </c>
      <c r="AL159" s="142">
        <v>0</v>
      </c>
      <c r="AM159" s="142">
        <v>0</v>
      </c>
      <c r="AN159" s="142">
        <v>0</v>
      </c>
      <c r="AO159" s="142">
        <v>0</v>
      </c>
      <c r="AP159" s="142">
        <v>0</v>
      </c>
      <c r="AQ159" s="142">
        <v>0</v>
      </c>
      <c r="AR159" s="142">
        <v>0</v>
      </c>
      <c r="AS159" s="142">
        <v>0</v>
      </c>
      <c r="AT159" s="142">
        <v>0</v>
      </c>
      <c r="AU159" s="142">
        <v>0</v>
      </c>
      <c r="AV159" s="142">
        <v>0</v>
      </c>
      <c r="AW159" s="142">
        <v>0</v>
      </c>
    </row>
    <row r="160" spans="18:49" x14ac:dyDescent="0.25">
      <c r="R160" s="141">
        <f t="shared" si="3"/>
        <v>1024.4848194587846</v>
      </c>
      <c r="S160" s="142">
        <v>0</v>
      </c>
      <c r="T160" s="142">
        <v>0</v>
      </c>
      <c r="U160" s="142">
        <v>0</v>
      </c>
      <c r="V160" s="142">
        <v>0</v>
      </c>
      <c r="W160" s="142">
        <v>0</v>
      </c>
      <c r="X160" s="142">
        <v>0</v>
      </c>
      <c r="Y160" s="142">
        <v>0</v>
      </c>
      <c r="Z160" s="142">
        <v>0</v>
      </c>
      <c r="AA160" s="142">
        <v>0</v>
      </c>
      <c r="AB160" s="142">
        <v>0</v>
      </c>
      <c r="AC160" s="142">
        <v>0</v>
      </c>
      <c r="AD160" s="142">
        <v>0</v>
      </c>
      <c r="AE160" s="142">
        <v>0</v>
      </c>
      <c r="AF160" s="142">
        <v>0</v>
      </c>
      <c r="AG160" s="142">
        <v>0</v>
      </c>
      <c r="AH160" s="142">
        <v>0</v>
      </c>
      <c r="AI160" s="142">
        <v>0</v>
      </c>
      <c r="AJ160" s="142">
        <v>0</v>
      </c>
      <c r="AK160" s="142">
        <v>0</v>
      </c>
      <c r="AL160" s="142">
        <v>0</v>
      </c>
      <c r="AM160" s="142">
        <v>0</v>
      </c>
      <c r="AN160" s="142">
        <v>0</v>
      </c>
      <c r="AO160" s="142">
        <v>0</v>
      </c>
      <c r="AP160" s="142">
        <v>0</v>
      </c>
      <c r="AQ160" s="142">
        <v>0</v>
      </c>
      <c r="AR160" s="142">
        <v>0</v>
      </c>
      <c r="AS160" s="142">
        <v>0</v>
      </c>
      <c r="AT160" s="142">
        <v>0</v>
      </c>
      <c r="AU160" s="142">
        <v>0</v>
      </c>
      <c r="AV160" s="142">
        <v>0</v>
      </c>
      <c r="AW160" s="142">
        <v>0</v>
      </c>
    </row>
    <row r="161" spans="18:49" x14ac:dyDescent="0.25">
      <c r="R161" s="141">
        <f t="shared" si="3"/>
        <v>1081.4006427620504</v>
      </c>
      <c r="S161" s="142">
        <v>0</v>
      </c>
      <c r="T161" s="142">
        <v>0</v>
      </c>
      <c r="U161" s="142">
        <v>0</v>
      </c>
      <c r="V161" s="142">
        <v>0</v>
      </c>
      <c r="W161" s="142">
        <v>0</v>
      </c>
      <c r="X161" s="142">
        <v>0</v>
      </c>
      <c r="Y161" s="142">
        <v>0</v>
      </c>
      <c r="Z161" s="142">
        <v>0</v>
      </c>
      <c r="AA161" s="142">
        <v>0</v>
      </c>
      <c r="AB161" s="142">
        <v>0</v>
      </c>
      <c r="AC161" s="142">
        <v>0</v>
      </c>
      <c r="AD161" s="142">
        <v>0</v>
      </c>
      <c r="AE161" s="142">
        <v>0</v>
      </c>
      <c r="AF161" s="142">
        <v>0</v>
      </c>
      <c r="AG161" s="142">
        <v>0</v>
      </c>
      <c r="AH161" s="142">
        <v>0</v>
      </c>
      <c r="AI161" s="142">
        <v>0</v>
      </c>
      <c r="AJ161" s="142">
        <v>0</v>
      </c>
      <c r="AK161" s="142">
        <v>0</v>
      </c>
      <c r="AL161" s="142">
        <v>0</v>
      </c>
      <c r="AM161" s="142">
        <v>0</v>
      </c>
      <c r="AN161" s="142">
        <v>0</v>
      </c>
      <c r="AO161" s="142">
        <v>0</v>
      </c>
      <c r="AP161" s="142">
        <v>0</v>
      </c>
      <c r="AQ161" s="142">
        <v>0</v>
      </c>
      <c r="AR161" s="142">
        <v>0</v>
      </c>
      <c r="AS161" s="142">
        <v>0</v>
      </c>
      <c r="AT161" s="142">
        <v>0</v>
      </c>
      <c r="AU161" s="142">
        <v>0</v>
      </c>
      <c r="AV161" s="142">
        <v>0</v>
      </c>
      <c r="AW161" s="142">
        <v>0</v>
      </c>
    </row>
    <row r="162" spans="18:49" x14ac:dyDescent="0.25">
      <c r="R162" s="141">
        <f t="shared" si="3"/>
        <v>1138.316466065316</v>
      </c>
      <c r="S162" s="142">
        <v>0</v>
      </c>
      <c r="T162" s="142">
        <v>0</v>
      </c>
      <c r="U162" s="142">
        <v>0</v>
      </c>
      <c r="V162" s="142">
        <v>0</v>
      </c>
      <c r="W162" s="142">
        <v>0</v>
      </c>
      <c r="X162" s="142">
        <v>0</v>
      </c>
      <c r="Y162" s="142">
        <v>0</v>
      </c>
      <c r="Z162" s="142">
        <v>0</v>
      </c>
      <c r="AA162" s="142">
        <v>0</v>
      </c>
      <c r="AB162" s="142">
        <v>0</v>
      </c>
      <c r="AC162" s="142">
        <v>0</v>
      </c>
      <c r="AD162" s="142">
        <v>0</v>
      </c>
      <c r="AE162" s="142">
        <v>0</v>
      </c>
      <c r="AF162" s="142">
        <v>0</v>
      </c>
      <c r="AG162" s="142">
        <v>0</v>
      </c>
      <c r="AH162" s="142">
        <v>0</v>
      </c>
      <c r="AI162" s="142">
        <v>0</v>
      </c>
      <c r="AJ162" s="142">
        <v>0</v>
      </c>
      <c r="AK162" s="142">
        <v>0</v>
      </c>
      <c r="AL162" s="142">
        <v>0</v>
      </c>
      <c r="AM162" s="142">
        <v>0</v>
      </c>
      <c r="AN162" s="142">
        <v>0</v>
      </c>
      <c r="AO162" s="142">
        <v>0</v>
      </c>
      <c r="AP162" s="142">
        <v>0</v>
      </c>
      <c r="AQ162" s="142">
        <v>0</v>
      </c>
      <c r="AR162" s="142">
        <v>0</v>
      </c>
      <c r="AS162" s="142">
        <v>0</v>
      </c>
      <c r="AT162" s="142">
        <v>0</v>
      </c>
      <c r="AU162" s="142">
        <v>0</v>
      </c>
      <c r="AV162" s="142">
        <v>0</v>
      </c>
      <c r="AW162" s="142">
        <v>0</v>
      </c>
    </row>
    <row r="163" spans="18:49" x14ac:dyDescent="0.25">
      <c r="R163" s="141">
        <f t="shared" si="3"/>
        <v>1195.2322893685819</v>
      </c>
      <c r="S163" s="142">
        <v>0</v>
      </c>
      <c r="T163" s="142">
        <v>0</v>
      </c>
      <c r="U163" s="142">
        <v>0</v>
      </c>
      <c r="V163" s="142">
        <v>0</v>
      </c>
      <c r="W163" s="142">
        <v>0</v>
      </c>
      <c r="X163" s="142">
        <v>0</v>
      </c>
      <c r="Y163" s="142">
        <v>0</v>
      </c>
      <c r="Z163" s="142">
        <v>0</v>
      </c>
      <c r="AA163" s="142">
        <v>0</v>
      </c>
      <c r="AB163" s="142">
        <v>0</v>
      </c>
      <c r="AC163" s="142">
        <v>0</v>
      </c>
      <c r="AD163" s="142">
        <v>0</v>
      </c>
      <c r="AE163" s="142">
        <v>0</v>
      </c>
      <c r="AF163" s="142">
        <v>0</v>
      </c>
      <c r="AG163" s="142">
        <v>0</v>
      </c>
      <c r="AH163" s="142">
        <v>0</v>
      </c>
      <c r="AI163" s="142">
        <v>0</v>
      </c>
      <c r="AJ163" s="142">
        <v>0</v>
      </c>
      <c r="AK163" s="142">
        <v>0</v>
      </c>
      <c r="AL163" s="142">
        <v>0</v>
      </c>
      <c r="AM163" s="142">
        <v>0</v>
      </c>
      <c r="AN163" s="142">
        <v>0</v>
      </c>
      <c r="AO163" s="142">
        <v>0</v>
      </c>
      <c r="AP163" s="142">
        <v>0</v>
      </c>
      <c r="AQ163" s="142">
        <v>0</v>
      </c>
      <c r="AR163" s="142">
        <v>0</v>
      </c>
      <c r="AS163" s="142">
        <v>0</v>
      </c>
      <c r="AT163" s="142">
        <v>0</v>
      </c>
      <c r="AU163" s="142">
        <v>0</v>
      </c>
      <c r="AV163" s="142">
        <v>0</v>
      </c>
      <c r="AW163" s="142">
        <v>0</v>
      </c>
    </row>
    <row r="164" spans="18:49" x14ac:dyDescent="0.25">
      <c r="R164" s="141">
        <f t="shared" si="3"/>
        <v>1252.1481126718477</v>
      </c>
      <c r="S164" s="142">
        <v>0</v>
      </c>
      <c r="T164" s="142">
        <v>0</v>
      </c>
      <c r="U164" s="142">
        <v>0</v>
      </c>
      <c r="V164" s="142">
        <v>0</v>
      </c>
      <c r="W164" s="142">
        <v>0</v>
      </c>
      <c r="X164" s="142">
        <v>0</v>
      </c>
      <c r="Y164" s="142">
        <v>0</v>
      </c>
      <c r="Z164" s="142">
        <v>0</v>
      </c>
      <c r="AA164" s="142">
        <v>0</v>
      </c>
      <c r="AB164" s="142">
        <v>0</v>
      </c>
      <c r="AC164" s="142">
        <v>0</v>
      </c>
      <c r="AD164" s="142">
        <v>0</v>
      </c>
      <c r="AE164" s="142">
        <v>0</v>
      </c>
      <c r="AF164" s="142">
        <v>0</v>
      </c>
      <c r="AG164" s="142">
        <v>0</v>
      </c>
      <c r="AH164" s="142">
        <v>0</v>
      </c>
      <c r="AI164" s="142">
        <v>0</v>
      </c>
      <c r="AJ164" s="142">
        <v>0</v>
      </c>
      <c r="AK164" s="142">
        <v>0</v>
      </c>
      <c r="AL164" s="142">
        <v>0</v>
      </c>
      <c r="AM164" s="142">
        <v>0</v>
      </c>
      <c r="AN164" s="142">
        <v>0</v>
      </c>
      <c r="AO164" s="142">
        <v>0</v>
      </c>
      <c r="AP164" s="142">
        <v>0</v>
      </c>
      <c r="AQ164" s="142">
        <v>0</v>
      </c>
      <c r="AR164" s="142">
        <v>0</v>
      </c>
      <c r="AS164" s="142">
        <v>0</v>
      </c>
      <c r="AT164" s="142">
        <v>0</v>
      </c>
      <c r="AU164" s="142">
        <v>0</v>
      </c>
      <c r="AV164" s="142">
        <v>0</v>
      </c>
      <c r="AW164" s="142">
        <v>0</v>
      </c>
    </row>
    <row r="165" spans="18:49" x14ac:dyDescent="0.25">
      <c r="R165" s="141">
        <f t="shared" si="3"/>
        <v>1309.0639359751137</v>
      </c>
      <c r="S165" s="142">
        <v>0</v>
      </c>
      <c r="T165" s="142">
        <v>0</v>
      </c>
      <c r="U165" s="142">
        <v>0</v>
      </c>
      <c r="V165" s="142">
        <v>0</v>
      </c>
      <c r="W165" s="142">
        <v>0</v>
      </c>
      <c r="X165" s="142">
        <v>0</v>
      </c>
      <c r="Y165" s="142">
        <v>0</v>
      </c>
      <c r="Z165" s="142">
        <v>0</v>
      </c>
      <c r="AA165" s="142">
        <v>0</v>
      </c>
      <c r="AB165" s="142">
        <v>0</v>
      </c>
      <c r="AC165" s="142">
        <v>0</v>
      </c>
      <c r="AD165" s="142">
        <v>0</v>
      </c>
      <c r="AE165" s="142">
        <v>0</v>
      </c>
      <c r="AF165" s="142">
        <v>0</v>
      </c>
      <c r="AG165" s="142">
        <v>0</v>
      </c>
      <c r="AH165" s="142">
        <v>0</v>
      </c>
      <c r="AI165" s="142">
        <v>0</v>
      </c>
      <c r="AJ165" s="142">
        <v>0</v>
      </c>
      <c r="AK165" s="142">
        <v>0</v>
      </c>
      <c r="AL165" s="142">
        <v>0</v>
      </c>
      <c r="AM165" s="142">
        <v>0</v>
      </c>
      <c r="AN165" s="142">
        <v>0</v>
      </c>
      <c r="AO165" s="142">
        <v>0</v>
      </c>
      <c r="AP165" s="142">
        <v>0</v>
      </c>
      <c r="AQ165" s="142">
        <v>0</v>
      </c>
      <c r="AR165" s="142">
        <v>0</v>
      </c>
      <c r="AS165" s="142">
        <v>0</v>
      </c>
      <c r="AT165" s="142">
        <v>0</v>
      </c>
      <c r="AU165" s="142">
        <v>0</v>
      </c>
      <c r="AV165" s="142">
        <v>0</v>
      </c>
      <c r="AW165" s="142">
        <v>0</v>
      </c>
    </row>
    <row r="166" spans="18:49" x14ac:dyDescent="0.25">
      <c r="R166" s="141">
        <f t="shared" si="3"/>
        <v>1365.9797592783796</v>
      </c>
      <c r="S166" s="142">
        <v>0</v>
      </c>
      <c r="T166" s="142">
        <v>0</v>
      </c>
      <c r="U166" s="142">
        <v>0</v>
      </c>
      <c r="V166" s="142">
        <v>0</v>
      </c>
      <c r="W166" s="142">
        <v>0</v>
      </c>
      <c r="X166" s="142">
        <v>0</v>
      </c>
      <c r="Y166" s="142">
        <v>0</v>
      </c>
      <c r="Z166" s="142">
        <v>0</v>
      </c>
      <c r="AA166" s="142">
        <v>0</v>
      </c>
      <c r="AB166" s="142">
        <v>0</v>
      </c>
      <c r="AC166" s="142">
        <v>0</v>
      </c>
      <c r="AD166" s="142">
        <v>0</v>
      </c>
      <c r="AE166" s="142">
        <v>0</v>
      </c>
      <c r="AF166" s="142">
        <v>0</v>
      </c>
      <c r="AG166" s="142">
        <v>0</v>
      </c>
      <c r="AH166" s="142">
        <v>0</v>
      </c>
      <c r="AI166" s="142">
        <v>0</v>
      </c>
      <c r="AJ166" s="142">
        <v>0</v>
      </c>
      <c r="AK166" s="142">
        <v>0</v>
      </c>
      <c r="AL166" s="142">
        <v>0</v>
      </c>
      <c r="AM166" s="142">
        <v>0</v>
      </c>
      <c r="AN166" s="142">
        <v>0</v>
      </c>
      <c r="AO166" s="142">
        <v>0</v>
      </c>
      <c r="AP166" s="142">
        <v>0</v>
      </c>
      <c r="AQ166" s="142">
        <v>0</v>
      </c>
      <c r="AR166" s="142">
        <v>0</v>
      </c>
      <c r="AS166" s="142">
        <v>0</v>
      </c>
      <c r="AT166" s="142">
        <v>0</v>
      </c>
      <c r="AU166" s="142">
        <v>0</v>
      </c>
      <c r="AV166" s="142">
        <v>0</v>
      </c>
      <c r="AW166" s="142">
        <v>0</v>
      </c>
    </row>
    <row r="167" spans="18:49" x14ac:dyDescent="0.25">
      <c r="R167" s="141">
        <f t="shared" si="3"/>
        <v>1422.8955825816452</v>
      </c>
      <c r="S167" s="142">
        <v>0</v>
      </c>
      <c r="T167" s="142">
        <v>0</v>
      </c>
      <c r="U167" s="142">
        <v>0</v>
      </c>
      <c r="V167" s="142">
        <v>0</v>
      </c>
      <c r="W167" s="142">
        <v>0</v>
      </c>
      <c r="X167" s="142">
        <v>0</v>
      </c>
      <c r="Y167" s="142">
        <v>0</v>
      </c>
      <c r="Z167" s="142">
        <v>0</v>
      </c>
      <c r="AA167" s="142">
        <v>0</v>
      </c>
      <c r="AB167" s="142">
        <v>0</v>
      </c>
      <c r="AC167" s="142">
        <v>0</v>
      </c>
      <c r="AD167" s="142">
        <v>0</v>
      </c>
      <c r="AE167" s="142">
        <v>0</v>
      </c>
      <c r="AF167" s="142">
        <v>0</v>
      </c>
      <c r="AG167" s="142">
        <v>0</v>
      </c>
      <c r="AH167" s="142">
        <v>0</v>
      </c>
      <c r="AI167" s="142">
        <v>0</v>
      </c>
      <c r="AJ167" s="142">
        <v>0</v>
      </c>
      <c r="AK167" s="142">
        <v>0</v>
      </c>
      <c r="AL167" s="142">
        <v>0</v>
      </c>
      <c r="AM167" s="142">
        <v>0</v>
      </c>
      <c r="AN167" s="142">
        <v>0</v>
      </c>
      <c r="AO167" s="142">
        <v>0</v>
      </c>
      <c r="AP167" s="142">
        <v>0</v>
      </c>
      <c r="AQ167" s="142">
        <v>0</v>
      </c>
      <c r="AR167" s="142">
        <v>0</v>
      </c>
      <c r="AS167" s="142">
        <v>0</v>
      </c>
      <c r="AT167" s="142">
        <v>0</v>
      </c>
      <c r="AU167" s="142">
        <v>0</v>
      </c>
      <c r="AV167" s="142">
        <v>0</v>
      </c>
      <c r="AW167" s="142">
        <v>0</v>
      </c>
    </row>
    <row r="168" spans="18:49" x14ac:dyDescent="0.25">
      <c r="R168" s="141">
        <f t="shared" si="3"/>
        <v>1479.811405884911</v>
      </c>
      <c r="S168" s="142">
        <v>0</v>
      </c>
      <c r="T168" s="142">
        <v>0</v>
      </c>
      <c r="U168" s="142">
        <v>0</v>
      </c>
      <c r="V168" s="142">
        <v>0</v>
      </c>
      <c r="W168" s="142">
        <v>0</v>
      </c>
      <c r="X168" s="142">
        <v>0</v>
      </c>
      <c r="Y168" s="142">
        <v>0</v>
      </c>
      <c r="Z168" s="142">
        <v>0</v>
      </c>
      <c r="AA168" s="142">
        <v>0</v>
      </c>
      <c r="AB168" s="142">
        <v>0</v>
      </c>
      <c r="AC168" s="142">
        <v>0</v>
      </c>
      <c r="AD168" s="142">
        <v>0</v>
      </c>
      <c r="AE168" s="142">
        <v>0</v>
      </c>
      <c r="AF168" s="142">
        <v>0</v>
      </c>
      <c r="AG168" s="142">
        <v>0</v>
      </c>
      <c r="AH168" s="142">
        <v>0</v>
      </c>
      <c r="AI168" s="142">
        <v>0</v>
      </c>
      <c r="AJ168" s="142">
        <v>0</v>
      </c>
      <c r="AK168" s="142">
        <v>0</v>
      </c>
      <c r="AL168" s="142">
        <v>0</v>
      </c>
      <c r="AM168" s="142">
        <v>0</v>
      </c>
      <c r="AN168" s="142">
        <v>0</v>
      </c>
      <c r="AO168" s="142">
        <v>0</v>
      </c>
      <c r="AP168" s="142">
        <v>0</v>
      </c>
      <c r="AQ168" s="142">
        <v>0</v>
      </c>
      <c r="AR168" s="142">
        <v>0</v>
      </c>
      <c r="AS168" s="142">
        <v>0</v>
      </c>
      <c r="AT168" s="142">
        <v>0</v>
      </c>
      <c r="AU168" s="142">
        <v>0</v>
      </c>
      <c r="AV168" s="142">
        <v>0</v>
      </c>
      <c r="AW168" s="142">
        <v>0</v>
      </c>
    </row>
    <row r="169" spans="18:49" x14ac:dyDescent="0.25">
      <c r="R169" s="141">
        <f t="shared" si="3"/>
        <v>1536.7272291881768</v>
      </c>
      <c r="S169" s="142">
        <v>0</v>
      </c>
      <c r="T169" s="142">
        <v>0</v>
      </c>
      <c r="U169" s="142">
        <v>0</v>
      </c>
      <c r="V169" s="142">
        <v>0</v>
      </c>
      <c r="W169" s="142">
        <v>0</v>
      </c>
      <c r="X169" s="142">
        <v>0</v>
      </c>
      <c r="Y169" s="142">
        <v>0</v>
      </c>
      <c r="Z169" s="142">
        <v>0</v>
      </c>
      <c r="AA169" s="142">
        <v>0</v>
      </c>
      <c r="AB169" s="142">
        <v>0</v>
      </c>
      <c r="AC169" s="142">
        <v>0</v>
      </c>
      <c r="AD169" s="142">
        <v>0</v>
      </c>
      <c r="AE169" s="142">
        <v>0</v>
      </c>
      <c r="AF169" s="142">
        <v>0</v>
      </c>
      <c r="AG169" s="142">
        <v>0</v>
      </c>
      <c r="AH169" s="142">
        <v>0</v>
      </c>
      <c r="AI169" s="142">
        <v>0</v>
      </c>
      <c r="AJ169" s="142">
        <v>0</v>
      </c>
      <c r="AK169" s="142">
        <v>0</v>
      </c>
      <c r="AL169" s="142">
        <v>0</v>
      </c>
      <c r="AM169" s="142">
        <v>0</v>
      </c>
      <c r="AN169" s="142">
        <v>0</v>
      </c>
      <c r="AO169" s="142">
        <v>0</v>
      </c>
      <c r="AP169" s="142">
        <v>0</v>
      </c>
      <c r="AQ169" s="142">
        <v>0</v>
      </c>
      <c r="AR169" s="142">
        <v>0</v>
      </c>
      <c r="AS169" s="142">
        <v>0</v>
      </c>
      <c r="AT169" s="142">
        <v>0</v>
      </c>
      <c r="AU169" s="142">
        <v>0</v>
      </c>
      <c r="AV169" s="142">
        <v>0</v>
      </c>
      <c r="AW169" s="142">
        <v>0</v>
      </c>
    </row>
    <row r="170" spans="18:49" x14ac:dyDescent="0.25">
      <c r="R170" s="141">
        <f t="shared" si="3"/>
        <v>1593.6430524914426</v>
      </c>
      <c r="S170" s="142">
        <v>0</v>
      </c>
      <c r="T170" s="142">
        <v>0</v>
      </c>
      <c r="U170" s="142">
        <v>0</v>
      </c>
      <c r="V170" s="142">
        <v>0</v>
      </c>
      <c r="W170" s="142">
        <v>0</v>
      </c>
      <c r="X170" s="142">
        <v>0</v>
      </c>
      <c r="Y170" s="142">
        <v>0</v>
      </c>
      <c r="Z170" s="142">
        <v>0</v>
      </c>
      <c r="AA170" s="142">
        <v>0</v>
      </c>
      <c r="AB170" s="142">
        <v>0</v>
      </c>
      <c r="AC170" s="142">
        <v>0</v>
      </c>
      <c r="AD170" s="142">
        <v>0</v>
      </c>
      <c r="AE170" s="142">
        <v>0</v>
      </c>
      <c r="AF170" s="142">
        <v>0</v>
      </c>
      <c r="AG170" s="142">
        <v>0</v>
      </c>
      <c r="AH170" s="142">
        <v>0</v>
      </c>
      <c r="AI170" s="142">
        <v>0</v>
      </c>
      <c r="AJ170" s="142">
        <v>0</v>
      </c>
      <c r="AK170" s="142">
        <v>0</v>
      </c>
      <c r="AL170" s="142">
        <v>0</v>
      </c>
      <c r="AM170" s="142">
        <v>0</v>
      </c>
      <c r="AN170" s="142">
        <v>0</v>
      </c>
      <c r="AO170" s="142">
        <v>0</v>
      </c>
      <c r="AP170" s="142">
        <v>0</v>
      </c>
      <c r="AQ170" s="142">
        <v>0</v>
      </c>
      <c r="AR170" s="142">
        <v>0</v>
      </c>
      <c r="AS170" s="142">
        <v>0</v>
      </c>
      <c r="AT170" s="142">
        <v>0</v>
      </c>
      <c r="AU170" s="142">
        <v>0</v>
      </c>
      <c r="AV170" s="142">
        <v>0</v>
      </c>
      <c r="AW170" s="142">
        <v>0</v>
      </c>
    </row>
    <row r="171" spans="18:49" x14ac:dyDescent="0.25">
      <c r="R171" s="141">
        <f t="shared" si="3"/>
        <v>1650.5588757947085</v>
      </c>
      <c r="S171" s="142">
        <v>0</v>
      </c>
      <c r="T171" s="142">
        <v>0</v>
      </c>
      <c r="U171" s="142">
        <v>0</v>
      </c>
      <c r="V171" s="142">
        <v>0</v>
      </c>
      <c r="W171" s="142">
        <v>0</v>
      </c>
      <c r="X171" s="142">
        <v>0</v>
      </c>
      <c r="Y171" s="142">
        <v>0</v>
      </c>
      <c r="Z171" s="142">
        <v>0</v>
      </c>
      <c r="AA171" s="142">
        <v>0</v>
      </c>
      <c r="AB171" s="142">
        <v>0</v>
      </c>
      <c r="AC171" s="142">
        <v>0</v>
      </c>
      <c r="AD171" s="142">
        <v>0</v>
      </c>
      <c r="AE171" s="142">
        <v>0</v>
      </c>
      <c r="AF171" s="142">
        <v>0</v>
      </c>
      <c r="AG171" s="142">
        <v>0</v>
      </c>
      <c r="AH171" s="142">
        <v>0</v>
      </c>
      <c r="AI171" s="142">
        <v>0</v>
      </c>
      <c r="AJ171" s="142">
        <v>0</v>
      </c>
      <c r="AK171" s="142">
        <v>0</v>
      </c>
      <c r="AL171" s="142">
        <v>0</v>
      </c>
      <c r="AM171" s="142">
        <v>0</v>
      </c>
      <c r="AN171" s="142">
        <v>0</v>
      </c>
      <c r="AO171" s="142">
        <v>0</v>
      </c>
      <c r="AP171" s="142">
        <v>0</v>
      </c>
      <c r="AQ171" s="142">
        <v>0</v>
      </c>
      <c r="AR171" s="142">
        <v>0</v>
      </c>
      <c r="AS171" s="142">
        <v>0</v>
      </c>
      <c r="AT171" s="142">
        <v>0</v>
      </c>
      <c r="AU171" s="142">
        <v>0</v>
      </c>
      <c r="AV171" s="142">
        <v>0</v>
      </c>
      <c r="AW171" s="142">
        <v>0</v>
      </c>
    </row>
    <row r="172" spans="18:49" x14ac:dyDescent="0.25">
      <c r="R172" s="141">
        <f t="shared" si="3"/>
        <v>1707.4746990979741</v>
      </c>
      <c r="S172" s="142">
        <v>0</v>
      </c>
      <c r="T172" s="142">
        <v>0</v>
      </c>
      <c r="U172" s="142">
        <v>0</v>
      </c>
      <c r="V172" s="142">
        <v>0</v>
      </c>
      <c r="W172" s="142">
        <v>0</v>
      </c>
      <c r="X172" s="142">
        <v>0</v>
      </c>
      <c r="Y172" s="142">
        <v>0</v>
      </c>
      <c r="Z172" s="142">
        <v>0</v>
      </c>
      <c r="AA172" s="142">
        <v>0</v>
      </c>
      <c r="AB172" s="142">
        <v>0</v>
      </c>
      <c r="AC172" s="142">
        <v>0</v>
      </c>
      <c r="AD172" s="142">
        <v>0</v>
      </c>
      <c r="AE172" s="142">
        <v>0</v>
      </c>
      <c r="AF172" s="142">
        <v>0</v>
      </c>
      <c r="AG172" s="142">
        <v>0</v>
      </c>
      <c r="AH172" s="142">
        <v>0</v>
      </c>
      <c r="AI172" s="142">
        <v>0</v>
      </c>
      <c r="AJ172" s="142">
        <v>0</v>
      </c>
      <c r="AK172" s="142">
        <v>0</v>
      </c>
      <c r="AL172" s="142">
        <v>0</v>
      </c>
      <c r="AM172" s="142">
        <v>0</v>
      </c>
      <c r="AN172" s="142">
        <v>0</v>
      </c>
      <c r="AO172" s="142">
        <v>0</v>
      </c>
      <c r="AP172" s="142">
        <v>0</v>
      </c>
      <c r="AQ172" s="142">
        <v>0</v>
      </c>
      <c r="AR172" s="142">
        <v>0</v>
      </c>
      <c r="AS172" s="142">
        <v>0</v>
      </c>
      <c r="AT172" s="142">
        <v>0</v>
      </c>
      <c r="AU172" s="142">
        <v>0</v>
      </c>
      <c r="AV172" s="142">
        <v>0</v>
      </c>
      <c r="AW172" s="142">
        <v>0</v>
      </c>
    </row>
    <row r="173" spans="18:49" x14ac:dyDescent="0.25">
      <c r="R173" s="141">
        <f t="shared" si="3"/>
        <v>1764.3905224012399</v>
      </c>
      <c r="S173" s="142">
        <v>0</v>
      </c>
      <c r="T173" s="142">
        <v>0</v>
      </c>
      <c r="U173" s="142">
        <v>0</v>
      </c>
      <c r="V173" s="142">
        <v>0</v>
      </c>
      <c r="W173" s="142">
        <v>0</v>
      </c>
      <c r="X173" s="142">
        <v>0</v>
      </c>
      <c r="Y173" s="142">
        <v>0</v>
      </c>
      <c r="Z173" s="142">
        <v>0</v>
      </c>
      <c r="AA173" s="142">
        <v>0</v>
      </c>
      <c r="AB173" s="142">
        <v>0</v>
      </c>
      <c r="AC173" s="142">
        <v>0</v>
      </c>
      <c r="AD173" s="142">
        <v>0</v>
      </c>
      <c r="AE173" s="142">
        <v>0</v>
      </c>
      <c r="AF173" s="142">
        <v>0</v>
      </c>
      <c r="AG173" s="142">
        <v>0</v>
      </c>
      <c r="AH173" s="142">
        <v>0</v>
      </c>
      <c r="AI173" s="142">
        <v>0</v>
      </c>
      <c r="AJ173" s="142">
        <v>0</v>
      </c>
      <c r="AK173" s="142">
        <v>0</v>
      </c>
      <c r="AL173" s="142">
        <v>0</v>
      </c>
      <c r="AM173" s="142">
        <v>0</v>
      </c>
      <c r="AN173" s="142">
        <v>0</v>
      </c>
      <c r="AO173" s="142">
        <v>0</v>
      </c>
      <c r="AP173" s="142">
        <v>0</v>
      </c>
      <c r="AQ173" s="142">
        <v>0</v>
      </c>
      <c r="AR173" s="142">
        <v>0</v>
      </c>
      <c r="AS173" s="142">
        <v>0</v>
      </c>
      <c r="AT173" s="142">
        <v>0</v>
      </c>
      <c r="AU173" s="142">
        <v>0</v>
      </c>
      <c r="AV173" s="142">
        <v>0</v>
      </c>
      <c r="AW173" s="142">
        <v>0</v>
      </c>
    </row>
    <row r="174" spans="18:49" x14ac:dyDescent="0.25">
      <c r="R174" s="141">
        <f t="shared" si="3"/>
        <v>1821.3063457045057</v>
      </c>
      <c r="S174" s="142">
        <v>0</v>
      </c>
      <c r="T174" s="142">
        <v>0</v>
      </c>
      <c r="U174" s="142">
        <v>0</v>
      </c>
      <c r="V174" s="142">
        <v>0</v>
      </c>
      <c r="W174" s="142">
        <v>0</v>
      </c>
      <c r="X174" s="142">
        <v>0</v>
      </c>
      <c r="Y174" s="142">
        <v>0</v>
      </c>
      <c r="Z174" s="142">
        <v>0</v>
      </c>
      <c r="AA174" s="142">
        <v>0</v>
      </c>
      <c r="AB174" s="142">
        <v>0</v>
      </c>
      <c r="AC174" s="142">
        <v>0</v>
      </c>
      <c r="AD174" s="142">
        <v>0</v>
      </c>
      <c r="AE174" s="142">
        <v>0</v>
      </c>
      <c r="AF174" s="142">
        <v>0</v>
      </c>
      <c r="AG174" s="142">
        <v>0</v>
      </c>
      <c r="AH174" s="142">
        <v>0</v>
      </c>
      <c r="AI174" s="142">
        <v>0</v>
      </c>
      <c r="AJ174" s="142">
        <v>0</v>
      </c>
      <c r="AK174" s="142">
        <v>0</v>
      </c>
      <c r="AL174" s="142">
        <v>0</v>
      </c>
      <c r="AM174" s="142">
        <v>0</v>
      </c>
      <c r="AN174" s="142">
        <v>0</v>
      </c>
      <c r="AO174" s="142">
        <v>0</v>
      </c>
      <c r="AP174" s="142">
        <v>0</v>
      </c>
      <c r="AQ174" s="142">
        <v>0</v>
      </c>
      <c r="AR174" s="142">
        <v>0</v>
      </c>
      <c r="AS174" s="142">
        <v>0</v>
      </c>
      <c r="AT174" s="142">
        <v>0</v>
      </c>
      <c r="AU174" s="142">
        <v>0</v>
      </c>
      <c r="AV174" s="142">
        <v>0</v>
      </c>
      <c r="AW174" s="142">
        <v>0</v>
      </c>
    </row>
    <row r="175" spans="18:49" x14ac:dyDescent="0.25">
      <c r="R175" s="141">
        <f t="shared" si="3"/>
        <v>1878.2221690077715</v>
      </c>
      <c r="S175" s="142">
        <v>0</v>
      </c>
      <c r="T175" s="142">
        <v>0</v>
      </c>
      <c r="U175" s="142">
        <v>0</v>
      </c>
      <c r="V175" s="142">
        <v>0</v>
      </c>
      <c r="W175" s="142">
        <v>0</v>
      </c>
      <c r="X175" s="142">
        <v>0</v>
      </c>
      <c r="Y175" s="142">
        <v>0</v>
      </c>
      <c r="Z175" s="142">
        <v>0</v>
      </c>
      <c r="AA175" s="142">
        <v>0</v>
      </c>
      <c r="AB175" s="142">
        <v>0</v>
      </c>
      <c r="AC175" s="142">
        <v>0</v>
      </c>
      <c r="AD175" s="142">
        <v>0</v>
      </c>
      <c r="AE175" s="142">
        <v>0</v>
      </c>
      <c r="AF175" s="142">
        <v>0</v>
      </c>
      <c r="AG175" s="142">
        <v>0</v>
      </c>
      <c r="AH175" s="142">
        <v>0</v>
      </c>
      <c r="AI175" s="142">
        <v>0</v>
      </c>
      <c r="AJ175" s="142">
        <v>0</v>
      </c>
      <c r="AK175" s="142">
        <v>0</v>
      </c>
      <c r="AL175" s="142">
        <v>0</v>
      </c>
      <c r="AM175" s="142">
        <v>0</v>
      </c>
      <c r="AN175" s="142">
        <v>0</v>
      </c>
      <c r="AO175" s="142">
        <v>0</v>
      </c>
      <c r="AP175" s="142">
        <v>0</v>
      </c>
      <c r="AQ175" s="142">
        <v>0</v>
      </c>
      <c r="AR175" s="142">
        <v>0</v>
      </c>
      <c r="AS175" s="142">
        <v>0</v>
      </c>
      <c r="AT175" s="142">
        <v>0</v>
      </c>
      <c r="AU175" s="142">
        <v>0</v>
      </c>
      <c r="AV175" s="142">
        <v>0</v>
      </c>
      <c r="AW175" s="142">
        <v>0</v>
      </c>
    </row>
    <row r="176" spans="18:49" x14ac:dyDescent="0.25">
      <c r="R176" s="141">
        <f t="shared" si="3"/>
        <v>1935.1379923110374</v>
      </c>
      <c r="S176" s="142">
        <v>0</v>
      </c>
      <c r="T176" s="142">
        <v>0</v>
      </c>
      <c r="U176" s="142">
        <v>0</v>
      </c>
      <c r="V176" s="142">
        <v>0</v>
      </c>
      <c r="W176" s="142">
        <v>0</v>
      </c>
      <c r="X176" s="142">
        <v>0</v>
      </c>
      <c r="Y176" s="142">
        <v>0</v>
      </c>
      <c r="Z176" s="142">
        <v>0</v>
      </c>
      <c r="AA176" s="142">
        <v>0</v>
      </c>
      <c r="AB176" s="142">
        <v>0</v>
      </c>
      <c r="AC176" s="142">
        <v>0</v>
      </c>
      <c r="AD176" s="142">
        <v>0</v>
      </c>
      <c r="AE176" s="142">
        <v>0</v>
      </c>
      <c r="AF176" s="142">
        <v>0</v>
      </c>
      <c r="AG176" s="142">
        <v>0</v>
      </c>
      <c r="AH176" s="142">
        <v>0</v>
      </c>
      <c r="AI176" s="142">
        <v>0</v>
      </c>
      <c r="AJ176" s="142">
        <v>0</v>
      </c>
      <c r="AK176" s="142">
        <v>0</v>
      </c>
      <c r="AL176" s="142">
        <v>0</v>
      </c>
      <c r="AM176" s="142">
        <v>0</v>
      </c>
      <c r="AN176" s="142">
        <v>0</v>
      </c>
      <c r="AO176" s="142">
        <v>0</v>
      </c>
      <c r="AP176" s="142">
        <v>0</v>
      </c>
      <c r="AQ176" s="142">
        <v>0</v>
      </c>
      <c r="AR176" s="142">
        <v>0</v>
      </c>
      <c r="AS176" s="142">
        <v>0</v>
      </c>
      <c r="AT176" s="142">
        <v>0</v>
      </c>
      <c r="AU176" s="142">
        <v>0</v>
      </c>
      <c r="AV176" s="142">
        <v>0</v>
      </c>
      <c r="AW176" s="142">
        <v>0</v>
      </c>
    </row>
    <row r="177" spans="18:49" x14ac:dyDescent="0.25">
      <c r="R177" s="141">
        <f t="shared" si="3"/>
        <v>1992.0538156143032</v>
      </c>
      <c r="S177" s="142">
        <v>0</v>
      </c>
      <c r="T177" s="142">
        <v>0</v>
      </c>
      <c r="U177" s="142">
        <v>0</v>
      </c>
      <c r="V177" s="142">
        <v>0</v>
      </c>
      <c r="W177" s="142">
        <v>0</v>
      </c>
      <c r="X177" s="142">
        <v>0</v>
      </c>
      <c r="Y177" s="142">
        <v>0</v>
      </c>
      <c r="Z177" s="142">
        <v>0</v>
      </c>
      <c r="AA177" s="142">
        <v>0</v>
      </c>
      <c r="AB177" s="142">
        <v>0</v>
      </c>
      <c r="AC177" s="142">
        <v>0</v>
      </c>
      <c r="AD177" s="142">
        <v>0</v>
      </c>
      <c r="AE177" s="142">
        <v>0</v>
      </c>
      <c r="AF177" s="142">
        <v>0</v>
      </c>
      <c r="AG177" s="142">
        <v>0</v>
      </c>
      <c r="AH177" s="142">
        <v>0</v>
      </c>
      <c r="AI177" s="142">
        <v>0</v>
      </c>
      <c r="AJ177" s="142">
        <v>0</v>
      </c>
      <c r="AK177" s="142">
        <v>0</v>
      </c>
      <c r="AL177" s="142">
        <v>0</v>
      </c>
      <c r="AM177" s="142">
        <v>0</v>
      </c>
      <c r="AN177" s="142">
        <v>0</v>
      </c>
      <c r="AO177" s="142">
        <v>0</v>
      </c>
      <c r="AP177" s="142">
        <v>0</v>
      </c>
      <c r="AQ177" s="142">
        <v>0</v>
      </c>
      <c r="AR177" s="142">
        <v>0</v>
      </c>
      <c r="AS177" s="142">
        <v>0</v>
      </c>
      <c r="AT177" s="142">
        <v>0</v>
      </c>
      <c r="AU177" s="142">
        <v>0</v>
      </c>
      <c r="AV177" s="142">
        <v>0</v>
      </c>
      <c r="AW177" s="142">
        <v>0</v>
      </c>
    </row>
    <row r="178" spans="18:49" x14ac:dyDescent="0.25">
      <c r="R178" s="141">
        <f t="shared" si="3"/>
        <v>2048.9696389175692</v>
      </c>
      <c r="S178" s="142">
        <v>0</v>
      </c>
      <c r="T178" s="142">
        <v>0</v>
      </c>
      <c r="U178" s="142">
        <v>0</v>
      </c>
      <c r="V178" s="142">
        <v>0</v>
      </c>
      <c r="W178" s="142">
        <v>0</v>
      </c>
      <c r="X178" s="142">
        <v>0</v>
      </c>
      <c r="Y178" s="142">
        <v>0</v>
      </c>
      <c r="Z178" s="142">
        <v>0</v>
      </c>
      <c r="AA178" s="142">
        <v>0</v>
      </c>
      <c r="AB178" s="142">
        <v>0</v>
      </c>
      <c r="AC178" s="142">
        <v>0</v>
      </c>
      <c r="AD178" s="142">
        <v>0</v>
      </c>
      <c r="AE178" s="142">
        <v>0</v>
      </c>
      <c r="AF178" s="142">
        <v>0</v>
      </c>
      <c r="AG178" s="142">
        <v>0</v>
      </c>
      <c r="AH178" s="142">
        <v>0</v>
      </c>
      <c r="AI178" s="142">
        <v>0</v>
      </c>
      <c r="AJ178" s="142">
        <v>0</v>
      </c>
      <c r="AK178" s="142">
        <v>0</v>
      </c>
      <c r="AL178" s="142">
        <v>0</v>
      </c>
      <c r="AM178" s="142">
        <v>0</v>
      </c>
      <c r="AN178" s="142">
        <v>0</v>
      </c>
      <c r="AO178" s="142">
        <v>0</v>
      </c>
      <c r="AP178" s="142">
        <v>0</v>
      </c>
      <c r="AQ178" s="142">
        <v>0</v>
      </c>
      <c r="AR178" s="142">
        <v>0</v>
      </c>
      <c r="AS178" s="142">
        <v>0</v>
      </c>
      <c r="AT178" s="142">
        <v>0</v>
      </c>
      <c r="AU178" s="142">
        <v>0</v>
      </c>
      <c r="AV178" s="142">
        <v>0</v>
      </c>
      <c r="AW178" s="142">
        <v>0</v>
      </c>
    </row>
    <row r="179" spans="18:49" x14ac:dyDescent="0.25">
      <c r="R179" s="141">
        <f t="shared" si="3"/>
        <v>2105.8854622208351</v>
      </c>
      <c r="S179" s="142">
        <v>0</v>
      </c>
      <c r="T179" s="142">
        <v>0</v>
      </c>
      <c r="U179" s="142">
        <v>0</v>
      </c>
      <c r="V179" s="142">
        <v>0</v>
      </c>
      <c r="W179" s="142">
        <v>0</v>
      </c>
      <c r="X179" s="142">
        <v>0</v>
      </c>
      <c r="Y179" s="142">
        <v>0</v>
      </c>
      <c r="Z179" s="142">
        <v>0</v>
      </c>
      <c r="AA179" s="142">
        <v>0</v>
      </c>
      <c r="AB179" s="142">
        <v>0</v>
      </c>
      <c r="AC179" s="142">
        <v>0</v>
      </c>
      <c r="AD179" s="142">
        <v>0</v>
      </c>
      <c r="AE179" s="142">
        <v>0</v>
      </c>
      <c r="AF179" s="142">
        <v>0</v>
      </c>
      <c r="AG179" s="142">
        <v>0</v>
      </c>
      <c r="AH179" s="142">
        <v>0</v>
      </c>
      <c r="AI179" s="142">
        <v>0</v>
      </c>
      <c r="AJ179" s="142">
        <v>0</v>
      </c>
      <c r="AK179" s="142">
        <v>0</v>
      </c>
      <c r="AL179" s="142">
        <v>0</v>
      </c>
      <c r="AM179" s="142">
        <v>0</v>
      </c>
      <c r="AN179" s="142">
        <v>0</v>
      </c>
      <c r="AO179" s="142">
        <v>0</v>
      </c>
      <c r="AP179" s="142">
        <v>0</v>
      </c>
      <c r="AQ179" s="142">
        <v>0</v>
      </c>
      <c r="AR179" s="142">
        <v>0</v>
      </c>
      <c r="AS179" s="142">
        <v>0</v>
      </c>
      <c r="AT179" s="142">
        <v>0</v>
      </c>
      <c r="AU179" s="142">
        <v>0</v>
      </c>
      <c r="AV179" s="142">
        <v>0</v>
      </c>
      <c r="AW179" s="142">
        <v>0</v>
      </c>
    </row>
    <row r="180" spans="18:49" x14ac:dyDescent="0.25">
      <c r="R180" s="141">
        <f t="shared" si="3"/>
        <v>2162.8012855241009</v>
      </c>
      <c r="S180" s="142">
        <v>0</v>
      </c>
      <c r="T180" s="142">
        <v>0</v>
      </c>
      <c r="U180" s="142">
        <v>0</v>
      </c>
      <c r="V180" s="142">
        <v>0</v>
      </c>
      <c r="W180" s="142">
        <v>0</v>
      </c>
      <c r="X180" s="142">
        <v>0</v>
      </c>
      <c r="Y180" s="142">
        <v>0</v>
      </c>
      <c r="Z180" s="142">
        <v>0</v>
      </c>
      <c r="AA180" s="142">
        <v>0</v>
      </c>
      <c r="AB180" s="142">
        <v>0</v>
      </c>
      <c r="AC180" s="142">
        <v>0</v>
      </c>
      <c r="AD180" s="142">
        <v>0</v>
      </c>
      <c r="AE180" s="142">
        <v>0</v>
      </c>
      <c r="AF180" s="142">
        <v>0</v>
      </c>
      <c r="AG180" s="142">
        <v>0</v>
      </c>
      <c r="AH180" s="142">
        <v>0</v>
      </c>
      <c r="AI180" s="142">
        <v>0</v>
      </c>
      <c r="AJ180" s="142">
        <v>0</v>
      </c>
      <c r="AK180" s="142">
        <v>0</v>
      </c>
      <c r="AL180" s="142">
        <v>0</v>
      </c>
      <c r="AM180" s="142">
        <v>0</v>
      </c>
      <c r="AN180" s="142">
        <v>0</v>
      </c>
      <c r="AO180" s="142">
        <v>0</v>
      </c>
      <c r="AP180" s="142">
        <v>0</v>
      </c>
      <c r="AQ180" s="142">
        <v>0</v>
      </c>
      <c r="AR180" s="142">
        <v>0</v>
      </c>
      <c r="AS180" s="142">
        <v>0</v>
      </c>
      <c r="AT180" s="142">
        <v>0</v>
      </c>
      <c r="AU180" s="142">
        <v>0</v>
      </c>
      <c r="AV180" s="142">
        <v>0</v>
      </c>
      <c r="AW180" s="142">
        <v>0</v>
      </c>
    </row>
    <row r="181" spans="18:49" x14ac:dyDescent="0.25">
      <c r="R181" s="141">
        <f t="shared" si="3"/>
        <v>2219.7171088273667</v>
      </c>
      <c r="S181" s="142">
        <v>0</v>
      </c>
      <c r="T181" s="142">
        <v>0</v>
      </c>
      <c r="U181" s="142">
        <v>0</v>
      </c>
      <c r="V181" s="142">
        <v>0</v>
      </c>
      <c r="W181" s="142">
        <v>0</v>
      </c>
      <c r="X181" s="142">
        <v>0</v>
      </c>
      <c r="Y181" s="142">
        <v>0</v>
      </c>
      <c r="Z181" s="142">
        <v>0</v>
      </c>
      <c r="AA181" s="142">
        <v>0</v>
      </c>
      <c r="AB181" s="142">
        <v>0</v>
      </c>
      <c r="AC181" s="142">
        <v>0</v>
      </c>
      <c r="AD181" s="142">
        <v>0</v>
      </c>
      <c r="AE181" s="142">
        <v>0</v>
      </c>
      <c r="AF181" s="142">
        <v>0</v>
      </c>
      <c r="AG181" s="142">
        <v>0</v>
      </c>
      <c r="AH181" s="142">
        <v>0</v>
      </c>
      <c r="AI181" s="142">
        <v>0</v>
      </c>
      <c r="AJ181" s="142">
        <v>0</v>
      </c>
      <c r="AK181" s="142">
        <v>0</v>
      </c>
      <c r="AL181" s="142">
        <v>0</v>
      </c>
      <c r="AM181" s="142">
        <v>0</v>
      </c>
      <c r="AN181" s="142">
        <v>0</v>
      </c>
      <c r="AO181" s="142">
        <v>0</v>
      </c>
      <c r="AP181" s="142">
        <v>0</v>
      </c>
      <c r="AQ181" s="142">
        <v>0</v>
      </c>
      <c r="AR181" s="142">
        <v>0</v>
      </c>
      <c r="AS181" s="142">
        <v>0</v>
      </c>
      <c r="AT181" s="142">
        <v>0</v>
      </c>
      <c r="AU181" s="142">
        <v>0</v>
      </c>
      <c r="AV181" s="142">
        <v>0</v>
      </c>
      <c r="AW181" s="142">
        <v>0</v>
      </c>
    </row>
    <row r="182" spans="18:49" x14ac:dyDescent="0.25">
      <c r="R182" s="141">
        <f t="shared" si="3"/>
        <v>2276.6329321306321</v>
      </c>
      <c r="S182" s="142">
        <v>0</v>
      </c>
      <c r="T182" s="142">
        <v>0</v>
      </c>
      <c r="U182" s="142">
        <v>0</v>
      </c>
      <c r="V182" s="142">
        <v>0</v>
      </c>
      <c r="W182" s="142">
        <v>0</v>
      </c>
      <c r="X182" s="142">
        <v>0</v>
      </c>
      <c r="Y182" s="142">
        <v>0</v>
      </c>
      <c r="Z182" s="142">
        <v>0</v>
      </c>
      <c r="AA182" s="142">
        <v>0</v>
      </c>
      <c r="AB182" s="142">
        <v>0</v>
      </c>
      <c r="AC182" s="142">
        <v>0</v>
      </c>
      <c r="AD182" s="142">
        <v>0</v>
      </c>
      <c r="AE182" s="142">
        <v>0</v>
      </c>
      <c r="AF182" s="142">
        <v>0</v>
      </c>
      <c r="AG182" s="142">
        <v>0</v>
      </c>
      <c r="AH182" s="142">
        <v>0</v>
      </c>
      <c r="AI182" s="142">
        <v>0</v>
      </c>
      <c r="AJ182" s="142">
        <v>0</v>
      </c>
      <c r="AK182" s="142">
        <v>0</v>
      </c>
      <c r="AL182" s="142">
        <v>0</v>
      </c>
      <c r="AM182" s="142">
        <v>0</v>
      </c>
      <c r="AN182" s="142">
        <v>0</v>
      </c>
      <c r="AO182" s="142">
        <v>0</v>
      </c>
      <c r="AP182" s="142">
        <v>0</v>
      </c>
      <c r="AQ182" s="142">
        <v>0</v>
      </c>
      <c r="AR182" s="142">
        <v>0</v>
      </c>
      <c r="AS182" s="142">
        <v>0</v>
      </c>
      <c r="AT182" s="142">
        <v>0</v>
      </c>
      <c r="AU182" s="142">
        <v>0</v>
      </c>
      <c r="AV182" s="142">
        <v>0</v>
      </c>
      <c r="AW182" s="142">
        <v>0</v>
      </c>
    </row>
    <row r="183" spans="18:49" x14ac:dyDescent="0.25">
      <c r="R183" s="141">
        <f t="shared" si="3"/>
        <v>2333.5487554338979</v>
      </c>
      <c r="S183" s="142">
        <v>0</v>
      </c>
      <c r="T183" s="142">
        <v>0</v>
      </c>
      <c r="U183" s="142">
        <v>0</v>
      </c>
      <c r="V183" s="142">
        <v>0</v>
      </c>
      <c r="W183" s="142">
        <v>0</v>
      </c>
      <c r="X183" s="142">
        <v>0</v>
      </c>
      <c r="Y183" s="142">
        <v>0</v>
      </c>
      <c r="Z183" s="142">
        <v>0</v>
      </c>
      <c r="AA183" s="142">
        <v>0</v>
      </c>
      <c r="AB183" s="142">
        <v>0</v>
      </c>
      <c r="AC183" s="142">
        <v>0</v>
      </c>
      <c r="AD183" s="142">
        <v>0</v>
      </c>
      <c r="AE183" s="142">
        <v>0</v>
      </c>
      <c r="AF183" s="142">
        <v>0</v>
      </c>
      <c r="AG183" s="142">
        <v>0</v>
      </c>
      <c r="AH183" s="142">
        <v>0</v>
      </c>
      <c r="AI183" s="142">
        <v>0</v>
      </c>
      <c r="AJ183" s="142">
        <v>0</v>
      </c>
      <c r="AK183" s="142">
        <v>0</v>
      </c>
      <c r="AL183" s="142">
        <v>0</v>
      </c>
      <c r="AM183" s="142">
        <v>0</v>
      </c>
      <c r="AN183" s="142">
        <v>0</v>
      </c>
      <c r="AO183" s="142">
        <v>0</v>
      </c>
      <c r="AP183" s="142">
        <v>0</v>
      </c>
      <c r="AQ183" s="142">
        <v>0</v>
      </c>
      <c r="AR183" s="142">
        <v>0</v>
      </c>
      <c r="AS183" s="142">
        <v>0</v>
      </c>
      <c r="AT183" s="142">
        <v>0</v>
      </c>
      <c r="AU183" s="142">
        <v>0</v>
      </c>
      <c r="AV183" s="142">
        <v>0</v>
      </c>
      <c r="AW183" s="142">
        <v>0</v>
      </c>
    </row>
    <row r="184" spans="18:49" x14ac:dyDescent="0.25">
      <c r="R184" s="141">
        <f t="shared" si="3"/>
        <v>2390.4645787371637</v>
      </c>
      <c r="S184" s="142">
        <v>0</v>
      </c>
      <c r="T184" s="142">
        <v>0</v>
      </c>
      <c r="U184" s="142">
        <v>0</v>
      </c>
      <c r="V184" s="142">
        <v>0</v>
      </c>
      <c r="W184" s="142">
        <v>0</v>
      </c>
      <c r="X184" s="142">
        <v>0</v>
      </c>
      <c r="Y184" s="142">
        <v>0</v>
      </c>
      <c r="Z184" s="142">
        <v>0</v>
      </c>
      <c r="AA184" s="142">
        <v>0</v>
      </c>
      <c r="AB184" s="142">
        <v>0</v>
      </c>
      <c r="AC184" s="142">
        <v>0</v>
      </c>
      <c r="AD184" s="142">
        <v>0</v>
      </c>
      <c r="AE184" s="142">
        <v>0</v>
      </c>
      <c r="AF184" s="142">
        <v>0</v>
      </c>
      <c r="AG184" s="142">
        <v>0</v>
      </c>
      <c r="AH184" s="142">
        <v>0</v>
      </c>
      <c r="AI184" s="142">
        <v>0</v>
      </c>
      <c r="AJ184" s="142">
        <v>0</v>
      </c>
      <c r="AK184" s="142">
        <v>0</v>
      </c>
      <c r="AL184" s="142">
        <v>0</v>
      </c>
      <c r="AM184" s="142">
        <v>0</v>
      </c>
      <c r="AN184" s="142">
        <v>0</v>
      </c>
      <c r="AO184" s="142">
        <v>0</v>
      </c>
      <c r="AP184" s="142">
        <v>0</v>
      </c>
      <c r="AQ184" s="142">
        <v>0</v>
      </c>
      <c r="AR184" s="142">
        <v>0</v>
      </c>
      <c r="AS184" s="142">
        <v>0</v>
      </c>
      <c r="AT184" s="142">
        <v>0</v>
      </c>
      <c r="AU184" s="142">
        <v>0</v>
      </c>
      <c r="AV184" s="142">
        <v>0</v>
      </c>
      <c r="AW184" s="142">
        <v>0</v>
      </c>
    </row>
    <row r="185" spans="18:49" x14ac:dyDescent="0.25">
      <c r="R185" s="141">
        <f t="shared" si="3"/>
        <v>2447.3804020404295</v>
      </c>
      <c r="S185" s="142">
        <v>0</v>
      </c>
      <c r="T185" s="142">
        <v>0</v>
      </c>
      <c r="U185" s="142">
        <v>0</v>
      </c>
      <c r="V185" s="142">
        <v>0</v>
      </c>
      <c r="W185" s="142">
        <v>0</v>
      </c>
      <c r="X185" s="142">
        <v>0</v>
      </c>
      <c r="Y185" s="142">
        <v>0</v>
      </c>
      <c r="Z185" s="142">
        <v>0</v>
      </c>
      <c r="AA185" s="142">
        <v>0</v>
      </c>
      <c r="AB185" s="142">
        <v>0</v>
      </c>
      <c r="AC185" s="142">
        <v>0</v>
      </c>
      <c r="AD185" s="142">
        <v>0</v>
      </c>
      <c r="AE185" s="142">
        <v>0</v>
      </c>
      <c r="AF185" s="142">
        <v>0</v>
      </c>
      <c r="AG185" s="142">
        <v>0</v>
      </c>
      <c r="AH185" s="142">
        <v>0</v>
      </c>
      <c r="AI185" s="142">
        <v>0</v>
      </c>
      <c r="AJ185" s="142">
        <v>0</v>
      </c>
      <c r="AK185" s="142">
        <v>0</v>
      </c>
      <c r="AL185" s="142">
        <v>0</v>
      </c>
      <c r="AM185" s="142">
        <v>0</v>
      </c>
      <c r="AN185" s="142">
        <v>0</v>
      </c>
      <c r="AO185" s="142">
        <v>0</v>
      </c>
      <c r="AP185" s="142">
        <v>0</v>
      </c>
      <c r="AQ185" s="142">
        <v>0</v>
      </c>
      <c r="AR185" s="142">
        <v>0</v>
      </c>
      <c r="AS185" s="142">
        <v>0</v>
      </c>
      <c r="AT185" s="142">
        <v>0</v>
      </c>
      <c r="AU185" s="142">
        <v>0</v>
      </c>
      <c r="AV185" s="142">
        <v>0</v>
      </c>
      <c r="AW185" s="142">
        <v>0</v>
      </c>
    </row>
    <row r="186" spans="18:49" x14ac:dyDescent="0.25">
      <c r="R186" s="141">
        <f t="shared" si="3"/>
        <v>2504.2962253436954</v>
      </c>
      <c r="S186" s="142">
        <v>0</v>
      </c>
      <c r="T186" s="142">
        <v>0</v>
      </c>
      <c r="U186" s="142">
        <v>0</v>
      </c>
      <c r="V186" s="142">
        <v>0</v>
      </c>
      <c r="W186" s="142">
        <v>0</v>
      </c>
      <c r="X186" s="142">
        <v>0</v>
      </c>
      <c r="Y186" s="142">
        <v>0</v>
      </c>
      <c r="Z186" s="142">
        <v>0</v>
      </c>
      <c r="AA186" s="142">
        <v>0</v>
      </c>
      <c r="AB186" s="142">
        <v>0</v>
      </c>
      <c r="AC186" s="142">
        <v>0</v>
      </c>
      <c r="AD186" s="142">
        <v>0</v>
      </c>
      <c r="AE186" s="142">
        <v>0</v>
      </c>
      <c r="AF186" s="142">
        <v>0</v>
      </c>
      <c r="AG186" s="142">
        <v>0</v>
      </c>
      <c r="AH186" s="142">
        <v>0</v>
      </c>
      <c r="AI186" s="142">
        <v>0</v>
      </c>
      <c r="AJ186" s="142">
        <v>0</v>
      </c>
      <c r="AK186" s="142">
        <v>0</v>
      </c>
      <c r="AL186" s="142">
        <v>0</v>
      </c>
      <c r="AM186" s="142">
        <v>0</v>
      </c>
      <c r="AN186" s="142">
        <v>0</v>
      </c>
      <c r="AO186" s="142">
        <v>0</v>
      </c>
      <c r="AP186" s="142">
        <v>0</v>
      </c>
      <c r="AQ186" s="142">
        <v>0</v>
      </c>
      <c r="AR186" s="142">
        <v>0</v>
      </c>
      <c r="AS186" s="142">
        <v>0</v>
      </c>
      <c r="AT186" s="142">
        <v>0</v>
      </c>
      <c r="AU186" s="142">
        <v>0</v>
      </c>
      <c r="AV186" s="142">
        <v>0</v>
      </c>
      <c r="AW186" s="142">
        <v>0</v>
      </c>
    </row>
    <row r="187" spans="18:49" x14ac:dyDescent="0.25">
      <c r="R187" s="141">
        <f t="shared" si="3"/>
        <v>2561.2120486469612</v>
      </c>
      <c r="S187" s="142">
        <v>0</v>
      </c>
      <c r="T187" s="142">
        <v>0</v>
      </c>
      <c r="U187" s="142">
        <v>0</v>
      </c>
      <c r="V187" s="142">
        <v>0</v>
      </c>
      <c r="W187" s="142">
        <v>0</v>
      </c>
      <c r="X187" s="142">
        <v>0</v>
      </c>
      <c r="Y187" s="142">
        <v>0</v>
      </c>
      <c r="Z187" s="142">
        <v>0</v>
      </c>
      <c r="AA187" s="142">
        <v>0</v>
      </c>
      <c r="AB187" s="142">
        <v>0</v>
      </c>
      <c r="AC187" s="142">
        <v>0</v>
      </c>
      <c r="AD187" s="142">
        <v>0</v>
      </c>
      <c r="AE187" s="142">
        <v>0</v>
      </c>
      <c r="AF187" s="142">
        <v>0</v>
      </c>
      <c r="AG187" s="142">
        <v>0</v>
      </c>
      <c r="AH187" s="142">
        <v>0</v>
      </c>
      <c r="AI187" s="142">
        <v>0</v>
      </c>
      <c r="AJ187" s="142">
        <v>0</v>
      </c>
      <c r="AK187" s="142">
        <v>0</v>
      </c>
      <c r="AL187" s="142">
        <v>0</v>
      </c>
      <c r="AM187" s="142">
        <v>0</v>
      </c>
      <c r="AN187" s="142">
        <v>0</v>
      </c>
      <c r="AO187" s="142">
        <v>0</v>
      </c>
      <c r="AP187" s="142">
        <v>0</v>
      </c>
      <c r="AQ187" s="142">
        <v>0</v>
      </c>
      <c r="AR187" s="142">
        <v>0</v>
      </c>
      <c r="AS187" s="142">
        <v>0</v>
      </c>
      <c r="AT187" s="142">
        <v>0</v>
      </c>
      <c r="AU187" s="142">
        <v>0</v>
      </c>
      <c r="AV187" s="142">
        <v>0</v>
      </c>
      <c r="AW187" s="142">
        <v>0</v>
      </c>
    </row>
    <row r="188" spans="18:49" x14ac:dyDescent="0.25">
      <c r="R188" s="141">
        <f t="shared" si="3"/>
        <v>2618.1278719502275</v>
      </c>
      <c r="S188" s="142">
        <v>0</v>
      </c>
      <c r="T188" s="142">
        <v>0</v>
      </c>
      <c r="U188" s="142">
        <v>0</v>
      </c>
      <c r="V188" s="142">
        <v>0</v>
      </c>
      <c r="W188" s="142">
        <v>0</v>
      </c>
      <c r="X188" s="142">
        <v>0</v>
      </c>
      <c r="Y188" s="142">
        <v>0</v>
      </c>
      <c r="Z188" s="142">
        <v>0</v>
      </c>
      <c r="AA188" s="142">
        <v>0</v>
      </c>
      <c r="AB188" s="142">
        <v>0</v>
      </c>
      <c r="AC188" s="142">
        <v>0</v>
      </c>
      <c r="AD188" s="142">
        <v>0</v>
      </c>
      <c r="AE188" s="142">
        <v>0</v>
      </c>
      <c r="AF188" s="142">
        <v>0</v>
      </c>
      <c r="AG188" s="142">
        <v>0</v>
      </c>
      <c r="AH188" s="142">
        <v>0</v>
      </c>
      <c r="AI188" s="142">
        <v>0</v>
      </c>
      <c r="AJ188" s="142">
        <v>0</v>
      </c>
      <c r="AK188" s="142">
        <v>0</v>
      </c>
      <c r="AL188" s="142">
        <v>0</v>
      </c>
      <c r="AM188" s="142">
        <v>0</v>
      </c>
      <c r="AN188" s="142">
        <v>0</v>
      </c>
      <c r="AO188" s="142">
        <v>0</v>
      </c>
      <c r="AP188" s="142">
        <v>0</v>
      </c>
      <c r="AQ188" s="142">
        <v>0</v>
      </c>
      <c r="AR188" s="142">
        <v>0</v>
      </c>
      <c r="AS188" s="142">
        <v>0</v>
      </c>
      <c r="AT188" s="142">
        <v>0</v>
      </c>
      <c r="AU188" s="142">
        <v>0</v>
      </c>
      <c r="AV188" s="142">
        <v>0</v>
      </c>
      <c r="AW188" s="142">
        <v>0</v>
      </c>
    </row>
    <row r="189" spans="18:49" x14ac:dyDescent="0.25">
      <c r="R189" s="141">
        <f t="shared" si="3"/>
        <v>2675.0436952534928</v>
      </c>
      <c r="S189" s="142">
        <v>0</v>
      </c>
      <c r="T189" s="142">
        <v>0</v>
      </c>
      <c r="U189" s="142">
        <v>0</v>
      </c>
      <c r="V189" s="142">
        <v>0</v>
      </c>
      <c r="W189" s="142">
        <v>0</v>
      </c>
      <c r="X189" s="142">
        <v>0</v>
      </c>
      <c r="Y189" s="142">
        <v>0</v>
      </c>
      <c r="Z189" s="142">
        <v>0</v>
      </c>
      <c r="AA189" s="142">
        <v>0</v>
      </c>
      <c r="AB189" s="142">
        <v>0</v>
      </c>
      <c r="AC189" s="142">
        <v>0</v>
      </c>
      <c r="AD189" s="142">
        <v>0</v>
      </c>
      <c r="AE189" s="142">
        <v>0</v>
      </c>
      <c r="AF189" s="142">
        <v>0</v>
      </c>
      <c r="AG189" s="142">
        <v>0</v>
      </c>
      <c r="AH189" s="142">
        <v>0</v>
      </c>
      <c r="AI189" s="142">
        <v>0</v>
      </c>
      <c r="AJ189" s="142">
        <v>0</v>
      </c>
      <c r="AK189" s="142">
        <v>0</v>
      </c>
      <c r="AL189" s="142">
        <v>0</v>
      </c>
      <c r="AM189" s="142">
        <v>0</v>
      </c>
      <c r="AN189" s="142">
        <v>0</v>
      </c>
      <c r="AO189" s="142">
        <v>0</v>
      </c>
      <c r="AP189" s="142">
        <v>0</v>
      </c>
      <c r="AQ189" s="142">
        <v>0</v>
      </c>
      <c r="AR189" s="142">
        <v>0</v>
      </c>
      <c r="AS189" s="142">
        <v>0</v>
      </c>
      <c r="AT189" s="142">
        <v>0</v>
      </c>
      <c r="AU189" s="142">
        <v>0</v>
      </c>
      <c r="AV189" s="142">
        <v>0</v>
      </c>
      <c r="AW189" s="142">
        <v>0</v>
      </c>
    </row>
    <row r="190" spans="18:49" x14ac:dyDescent="0.25">
      <c r="R190" s="141">
        <f t="shared" si="3"/>
        <v>2731.9595185567591</v>
      </c>
      <c r="S190" s="142">
        <v>0</v>
      </c>
      <c r="T190" s="142">
        <v>0</v>
      </c>
      <c r="U190" s="142">
        <v>0</v>
      </c>
      <c r="V190" s="142">
        <v>0</v>
      </c>
      <c r="W190" s="142">
        <v>0</v>
      </c>
      <c r="X190" s="142">
        <v>0</v>
      </c>
      <c r="Y190" s="142">
        <v>0</v>
      </c>
      <c r="Z190" s="142">
        <v>0</v>
      </c>
      <c r="AA190" s="142">
        <v>0</v>
      </c>
      <c r="AB190" s="142">
        <v>0</v>
      </c>
      <c r="AC190" s="142">
        <v>0</v>
      </c>
      <c r="AD190" s="142">
        <v>0</v>
      </c>
      <c r="AE190" s="142">
        <v>0</v>
      </c>
      <c r="AF190" s="142">
        <v>0</v>
      </c>
      <c r="AG190" s="142">
        <v>0</v>
      </c>
      <c r="AH190" s="142">
        <v>0</v>
      </c>
      <c r="AI190" s="142">
        <v>0</v>
      </c>
      <c r="AJ190" s="142">
        <v>0</v>
      </c>
      <c r="AK190" s="142">
        <v>0</v>
      </c>
      <c r="AL190" s="142">
        <v>0</v>
      </c>
      <c r="AM190" s="142">
        <v>0</v>
      </c>
      <c r="AN190" s="142">
        <v>0</v>
      </c>
      <c r="AO190" s="142">
        <v>0</v>
      </c>
      <c r="AP190" s="142">
        <v>0</v>
      </c>
      <c r="AQ190" s="142">
        <v>0</v>
      </c>
      <c r="AR190" s="142">
        <v>0</v>
      </c>
      <c r="AS190" s="142">
        <v>0</v>
      </c>
      <c r="AT190" s="142">
        <v>0</v>
      </c>
      <c r="AU190" s="142">
        <v>0</v>
      </c>
      <c r="AV190" s="142">
        <v>0</v>
      </c>
      <c r="AW190" s="142">
        <v>0</v>
      </c>
    </row>
    <row r="191" spans="18:49" x14ac:dyDescent="0.25">
      <c r="R191" s="141">
        <f t="shared" si="3"/>
        <v>2788.8753418600245</v>
      </c>
      <c r="S191" s="142">
        <v>0</v>
      </c>
      <c r="T191" s="142">
        <v>0</v>
      </c>
      <c r="U191" s="142">
        <v>0</v>
      </c>
      <c r="V191" s="142">
        <v>0</v>
      </c>
      <c r="W191" s="142">
        <v>0</v>
      </c>
      <c r="X191" s="142">
        <v>0</v>
      </c>
      <c r="Y191" s="142">
        <v>0</v>
      </c>
      <c r="Z191" s="142">
        <v>0</v>
      </c>
      <c r="AA191" s="142">
        <v>0</v>
      </c>
      <c r="AB191" s="142">
        <v>0</v>
      </c>
      <c r="AC191" s="142">
        <v>0</v>
      </c>
      <c r="AD191" s="142">
        <v>0</v>
      </c>
      <c r="AE191" s="142">
        <v>0</v>
      </c>
      <c r="AF191" s="142">
        <v>0</v>
      </c>
      <c r="AG191" s="142">
        <v>0</v>
      </c>
      <c r="AH191" s="142">
        <v>0</v>
      </c>
      <c r="AI191" s="142">
        <v>0</v>
      </c>
      <c r="AJ191" s="142">
        <v>0</v>
      </c>
      <c r="AK191" s="142">
        <v>0</v>
      </c>
      <c r="AL191" s="142">
        <v>0</v>
      </c>
      <c r="AM191" s="142">
        <v>0</v>
      </c>
      <c r="AN191" s="142">
        <v>0</v>
      </c>
      <c r="AO191" s="142">
        <v>0</v>
      </c>
      <c r="AP191" s="142">
        <v>0</v>
      </c>
      <c r="AQ191" s="142">
        <v>0</v>
      </c>
      <c r="AR191" s="142">
        <v>0</v>
      </c>
      <c r="AS191" s="142">
        <v>0</v>
      </c>
      <c r="AT191" s="142">
        <v>0</v>
      </c>
      <c r="AU191" s="142">
        <v>0</v>
      </c>
      <c r="AV191" s="142">
        <v>0</v>
      </c>
      <c r="AW191" s="142">
        <v>0</v>
      </c>
    </row>
    <row r="192" spans="18:49" x14ac:dyDescent="0.25">
      <c r="R192" s="141">
        <f t="shared" si="3"/>
        <v>2845.7911651632903</v>
      </c>
      <c r="S192" s="142">
        <v>0</v>
      </c>
      <c r="T192" s="142">
        <v>0</v>
      </c>
      <c r="U192" s="142">
        <v>0</v>
      </c>
      <c r="V192" s="142">
        <v>0</v>
      </c>
      <c r="W192" s="142">
        <v>0</v>
      </c>
      <c r="X192" s="142">
        <v>0</v>
      </c>
      <c r="Y192" s="142">
        <v>0</v>
      </c>
      <c r="Z192" s="142">
        <v>0</v>
      </c>
      <c r="AA192" s="142">
        <v>0</v>
      </c>
      <c r="AB192" s="142">
        <v>0</v>
      </c>
      <c r="AC192" s="142">
        <v>0</v>
      </c>
      <c r="AD192" s="142">
        <v>0</v>
      </c>
      <c r="AE192" s="142">
        <v>0</v>
      </c>
      <c r="AF192" s="142">
        <v>0</v>
      </c>
      <c r="AG192" s="142">
        <v>0</v>
      </c>
      <c r="AH192" s="142">
        <v>0</v>
      </c>
      <c r="AI192" s="142">
        <v>0</v>
      </c>
      <c r="AJ192" s="142">
        <v>0</v>
      </c>
      <c r="AK192" s="142">
        <v>0</v>
      </c>
      <c r="AL192" s="142">
        <v>0</v>
      </c>
      <c r="AM192" s="142">
        <v>0</v>
      </c>
      <c r="AN192" s="142">
        <v>0</v>
      </c>
      <c r="AO192" s="142">
        <v>0</v>
      </c>
      <c r="AP192" s="142">
        <v>0</v>
      </c>
      <c r="AQ192" s="142">
        <v>0</v>
      </c>
      <c r="AR192" s="142">
        <v>0</v>
      </c>
      <c r="AS192" s="142">
        <v>0</v>
      </c>
      <c r="AT192" s="142">
        <v>0</v>
      </c>
      <c r="AU192" s="142">
        <v>0</v>
      </c>
      <c r="AV192" s="142">
        <v>0</v>
      </c>
      <c r="AW192" s="142">
        <v>0</v>
      </c>
    </row>
    <row r="193" spans="18:49" x14ac:dyDescent="0.25">
      <c r="R193" s="141">
        <f t="shared" si="3"/>
        <v>2902.7069884665561</v>
      </c>
      <c r="S193" s="142">
        <v>0</v>
      </c>
      <c r="T193" s="142">
        <v>0</v>
      </c>
      <c r="U193" s="142">
        <v>0</v>
      </c>
      <c r="V193" s="142">
        <v>0</v>
      </c>
      <c r="W193" s="142">
        <v>0</v>
      </c>
      <c r="X193" s="142">
        <v>0</v>
      </c>
      <c r="Y193" s="142">
        <v>0</v>
      </c>
      <c r="Z193" s="142">
        <v>0</v>
      </c>
      <c r="AA193" s="142">
        <v>0</v>
      </c>
      <c r="AB193" s="142">
        <v>0</v>
      </c>
      <c r="AC193" s="142">
        <v>0</v>
      </c>
      <c r="AD193" s="142">
        <v>0</v>
      </c>
      <c r="AE193" s="142">
        <v>0</v>
      </c>
      <c r="AF193" s="142">
        <v>0</v>
      </c>
      <c r="AG193" s="142">
        <v>0</v>
      </c>
      <c r="AH193" s="142">
        <v>0</v>
      </c>
      <c r="AI193" s="142">
        <v>0</v>
      </c>
      <c r="AJ193" s="142">
        <v>0</v>
      </c>
      <c r="AK193" s="142">
        <v>0</v>
      </c>
      <c r="AL193" s="142">
        <v>0</v>
      </c>
      <c r="AM193" s="142">
        <v>0</v>
      </c>
      <c r="AN193" s="142">
        <v>0</v>
      </c>
      <c r="AO193" s="142">
        <v>0</v>
      </c>
      <c r="AP193" s="142">
        <v>0</v>
      </c>
      <c r="AQ193" s="142">
        <v>0</v>
      </c>
      <c r="AR193" s="142">
        <v>0</v>
      </c>
      <c r="AS193" s="142">
        <v>0</v>
      </c>
      <c r="AT193" s="142">
        <v>0</v>
      </c>
      <c r="AU193" s="142">
        <v>0</v>
      </c>
      <c r="AV193" s="142">
        <v>0</v>
      </c>
      <c r="AW193" s="142">
        <v>0</v>
      </c>
    </row>
    <row r="194" spans="18:49" x14ac:dyDescent="0.25">
      <c r="R194" s="141">
        <f t="shared" si="3"/>
        <v>2959.622811769822</v>
      </c>
      <c r="S194" s="142">
        <v>0</v>
      </c>
      <c r="T194" s="142">
        <v>0</v>
      </c>
      <c r="U194" s="142">
        <v>0</v>
      </c>
      <c r="V194" s="142">
        <v>0</v>
      </c>
      <c r="W194" s="142">
        <v>0</v>
      </c>
      <c r="X194" s="142">
        <v>0</v>
      </c>
      <c r="Y194" s="142">
        <v>0</v>
      </c>
      <c r="Z194" s="142">
        <v>0</v>
      </c>
      <c r="AA194" s="142">
        <v>0</v>
      </c>
      <c r="AB194" s="142">
        <v>0</v>
      </c>
      <c r="AC194" s="142">
        <v>0</v>
      </c>
      <c r="AD194" s="142">
        <v>0</v>
      </c>
      <c r="AE194" s="142">
        <v>0</v>
      </c>
      <c r="AF194" s="142">
        <v>0</v>
      </c>
      <c r="AG194" s="142">
        <v>0</v>
      </c>
      <c r="AH194" s="142">
        <v>0</v>
      </c>
      <c r="AI194" s="142">
        <v>0</v>
      </c>
      <c r="AJ194" s="142">
        <v>0</v>
      </c>
      <c r="AK194" s="142">
        <v>0</v>
      </c>
      <c r="AL194" s="142">
        <v>0</v>
      </c>
      <c r="AM194" s="142">
        <v>0</v>
      </c>
      <c r="AN194" s="142">
        <v>0</v>
      </c>
      <c r="AO194" s="142">
        <v>0</v>
      </c>
      <c r="AP194" s="142">
        <v>0</v>
      </c>
      <c r="AQ194" s="142">
        <v>0</v>
      </c>
      <c r="AR194" s="142">
        <v>0</v>
      </c>
      <c r="AS194" s="142">
        <v>0</v>
      </c>
      <c r="AT194" s="142">
        <v>0</v>
      </c>
      <c r="AU194" s="142">
        <v>0</v>
      </c>
      <c r="AV194" s="142">
        <v>0</v>
      </c>
      <c r="AW194" s="142">
        <v>0</v>
      </c>
    </row>
    <row r="195" spans="18:49" x14ac:dyDescent="0.25">
      <c r="R195" s="141">
        <f t="shared" si="3"/>
        <v>3016.5386350730882</v>
      </c>
      <c r="S195" s="142">
        <v>0</v>
      </c>
      <c r="T195" s="142">
        <v>0</v>
      </c>
      <c r="U195" s="142">
        <v>0</v>
      </c>
      <c r="V195" s="142">
        <v>0</v>
      </c>
      <c r="W195" s="142">
        <v>0</v>
      </c>
      <c r="X195" s="142">
        <v>0</v>
      </c>
      <c r="Y195" s="142">
        <v>0</v>
      </c>
      <c r="Z195" s="142">
        <v>0</v>
      </c>
      <c r="AA195" s="142">
        <v>0</v>
      </c>
      <c r="AB195" s="142">
        <v>0</v>
      </c>
      <c r="AC195" s="142">
        <v>0</v>
      </c>
      <c r="AD195" s="142">
        <v>0</v>
      </c>
      <c r="AE195" s="142">
        <v>0</v>
      </c>
      <c r="AF195" s="142">
        <v>0</v>
      </c>
      <c r="AG195" s="142">
        <v>0</v>
      </c>
      <c r="AH195" s="142">
        <v>0</v>
      </c>
      <c r="AI195" s="142">
        <v>0</v>
      </c>
      <c r="AJ195" s="142">
        <v>0</v>
      </c>
      <c r="AK195" s="142">
        <v>0</v>
      </c>
      <c r="AL195" s="142">
        <v>0</v>
      </c>
      <c r="AM195" s="142">
        <v>0</v>
      </c>
      <c r="AN195" s="142">
        <v>0</v>
      </c>
      <c r="AO195" s="142">
        <v>0</v>
      </c>
      <c r="AP195" s="142">
        <v>0</v>
      </c>
      <c r="AQ195" s="142">
        <v>0</v>
      </c>
      <c r="AR195" s="142">
        <v>0</v>
      </c>
      <c r="AS195" s="142">
        <v>0</v>
      </c>
      <c r="AT195" s="142">
        <v>0</v>
      </c>
      <c r="AU195" s="142">
        <v>0</v>
      </c>
      <c r="AV195" s="142">
        <v>0</v>
      </c>
      <c r="AW195" s="142">
        <v>0</v>
      </c>
    </row>
    <row r="196" spans="18:49" x14ac:dyDescent="0.25">
      <c r="R196" s="141">
        <f t="shared" si="3"/>
        <v>3073.4544583763536</v>
      </c>
      <c r="S196" s="142">
        <v>0</v>
      </c>
      <c r="T196" s="142">
        <v>0</v>
      </c>
      <c r="U196" s="142">
        <v>0</v>
      </c>
      <c r="V196" s="142">
        <v>0</v>
      </c>
      <c r="W196" s="142">
        <v>0</v>
      </c>
      <c r="X196" s="142">
        <v>0</v>
      </c>
      <c r="Y196" s="142">
        <v>0</v>
      </c>
      <c r="Z196" s="142">
        <v>0</v>
      </c>
      <c r="AA196" s="142">
        <v>0</v>
      </c>
      <c r="AB196" s="142">
        <v>0</v>
      </c>
      <c r="AC196" s="142">
        <v>0</v>
      </c>
      <c r="AD196" s="142">
        <v>0</v>
      </c>
      <c r="AE196" s="142">
        <v>0</v>
      </c>
      <c r="AF196" s="142">
        <v>0</v>
      </c>
      <c r="AG196" s="142">
        <v>0</v>
      </c>
      <c r="AH196" s="142">
        <v>0</v>
      </c>
      <c r="AI196" s="142">
        <v>0</v>
      </c>
      <c r="AJ196" s="142">
        <v>0</v>
      </c>
      <c r="AK196" s="142">
        <v>0</v>
      </c>
      <c r="AL196" s="142">
        <v>0</v>
      </c>
      <c r="AM196" s="142">
        <v>0</v>
      </c>
      <c r="AN196" s="142">
        <v>0</v>
      </c>
      <c r="AO196" s="142">
        <v>0</v>
      </c>
      <c r="AP196" s="142">
        <v>0</v>
      </c>
      <c r="AQ196" s="142">
        <v>0</v>
      </c>
      <c r="AR196" s="142">
        <v>0</v>
      </c>
      <c r="AS196" s="142">
        <v>0</v>
      </c>
      <c r="AT196" s="142">
        <v>0</v>
      </c>
      <c r="AU196" s="142">
        <v>0</v>
      </c>
      <c r="AV196" s="142">
        <v>0</v>
      </c>
      <c r="AW196" s="142">
        <v>0</v>
      </c>
    </row>
    <row r="197" spans="18:49" x14ac:dyDescent="0.25">
      <c r="R197" s="141">
        <f t="shared" si="3"/>
        <v>3130.370281679619</v>
      </c>
      <c r="S197" s="142">
        <v>0</v>
      </c>
      <c r="T197" s="142">
        <v>0</v>
      </c>
      <c r="U197" s="142">
        <v>0</v>
      </c>
      <c r="V197" s="142">
        <v>0</v>
      </c>
      <c r="W197" s="142">
        <v>0</v>
      </c>
      <c r="X197" s="142">
        <v>0</v>
      </c>
      <c r="Y197" s="142">
        <v>0</v>
      </c>
      <c r="Z197" s="142">
        <v>0</v>
      </c>
      <c r="AA197" s="142">
        <v>0</v>
      </c>
      <c r="AB197" s="142">
        <v>0</v>
      </c>
      <c r="AC197" s="142">
        <v>0</v>
      </c>
      <c r="AD197" s="142">
        <v>0</v>
      </c>
      <c r="AE197" s="142">
        <v>0</v>
      </c>
      <c r="AF197" s="142">
        <v>0</v>
      </c>
      <c r="AG197" s="142">
        <v>0</v>
      </c>
      <c r="AH197" s="142">
        <v>0</v>
      </c>
      <c r="AI197" s="142">
        <v>0</v>
      </c>
      <c r="AJ197" s="142">
        <v>0</v>
      </c>
      <c r="AK197" s="142">
        <v>0</v>
      </c>
      <c r="AL197" s="142">
        <v>0</v>
      </c>
      <c r="AM197" s="142">
        <v>0</v>
      </c>
      <c r="AN197" s="142">
        <v>0</v>
      </c>
      <c r="AO197" s="142">
        <v>0</v>
      </c>
      <c r="AP197" s="142">
        <v>0</v>
      </c>
      <c r="AQ197" s="142">
        <v>0</v>
      </c>
      <c r="AR197" s="142">
        <v>0</v>
      </c>
      <c r="AS197" s="142">
        <v>0</v>
      </c>
      <c r="AT197" s="142">
        <v>0</v>
      </c>
      <c r="AU197" s="142">
        <v>0</v>
      </c>
      <c r="AV197" s="142">
        <v>0</v>
      </c>
      <c r="AW197" s="142">
        <v>0</v>
      </c>
    </row>
    <row r="198" spans="18:49" x14ac:dyDescent="0.25">
      <c r="R198" s="141">
        <f t="shared" si="3"/>
        <v>3187.2861049828853</v>
      </c>
      <c r="S198" s="142">
        <v>0</v>
      </c>
      <c r="T198" s="142">
        <v>0</v>
      </c>
      <c r="U198" s="142">
        <v>0</v>
      </c>
      <c r="V198" s="142">
        <v>0</v>
      </c>
      <c r="W198" s="142">
        <v>0</v>
      </c>
      <c r="X198" s="142">
        <v>0</v>
      </c>
      <c r="Y198" s="142">
        <v>0</v>
      </c>
      <c r="Z198" s="142">
        <v>0</v>
      </c>
      <c r="AA198" s="142">
        <v>0</v>
      </c>
      <c r="AB198" s="142">
        <v>0</v>
      </c>
      <c r="AC198" s="142">
        <v>0</v>
      </c>
      <c r="AD198" s="142">
        <v>0</v>
      </c>
      <c r="AE198" s="142">
        <v>0</v>
      </c>
      <c r="AF198" s="142">
        <v>0</v>
      </c>
      <c r="AG198" s="142">
        <v>0</v>
      </c>
      <c r="AH198" s="142">
        <v>0</v>
      </c>
      <c r="AI198" s="142">
        <v>0</v>
      </c>
      <c r="AJ198" s="142">
        <v>0</v>
      </c>
      <c r="AK198" s="142">
        <v>0</v>
      </c>
      <c r="AL198" s="142">
        <v>0</v>
      </c>
      <c r="AM198" s="142">
        <v>0</v>
      </c>
      <c r="AN198" s="142">
        <v>0</v>
      </c>
      <c r="AO198" s="142">
        <v>0</v>
      </c>
      <c r="AP198" s="142">
        <v>0</v>
      </c>
      <c r="AQ198" s="142">
        <v>0</v>
      </c>
      <c r="AR198" s="142">
        <v>0</v>
      </c>
      <c r="AS198" s="142">
        <v>0</v>
      </c>
      <c r="AT198" s="142">
        <v>0</v>
      </c>
      <c r="AU198" s="142">
        <v>0</v>
      </c>
      <c r="AV198" s="142">
        <v>0</v>
      </c>
      <c r="AW198" s="142">
        <v>0</v>
      </c>
    </row>
    <row r="199" spans="18:49" x14ac:dyDescent="0.25">
      <c r="R199" s="141">
        <f t="shared" si="3"/>
        <v>3244.2019282861506</v>
      </c>
      <c r="S199" s="142">
        <v>0</v>
      </c>
      <c r="T199" s="142">
        <v>0</v>
      </c>
      <c r="U199" s="142">
        <v>0</v>
      </c>
      <c r="V199" s="142">
        <v>0</v>
      </c>
      <c r="W199" s="142">
        <v>0</v>
      </c>
      <c r="X199" s="142">
        <v>0</v>
      </c>
      <c r="Y199" s="142">
        <v>0</v>
      </c>
      <c r="Z199" s="142">
        <v>0</v>
      </c>
      <c r="AA199" s="142">
        <v>0</v>
      </c>
      <c r="AB199" s="142">
        <v>0</v>
      </c>
      <c r="AC199" s="142">
        <v>0</v>
      </c>
      <c r="AD199" s="142">
        <v>0</v>
      </c>
      <c r="AE199" s="142">
        <v>0</v>
      </c>
      <c r="AF199" s="142">
        <v>0</v>
      </c>
      <c r="AG199" s="142">
        <v>0</v>
      </c>
      <c r="AH199" s="142">
        <v>0</v>
      </c>
      <c r="AI199" s="142">
        <v>0</v>
      </c>
      <c r="AJ199" s="142">
        <v>0</v>
      </c>
      <c r="AK199" s="142">
        <v>0</v>
      </c>
      <c r="AL199" s="142">
        <v>0</v>
      </c>
      <c r="AM199" s="142">
        <v>0</v>
      </c>
      <c r="AN199" s="142">
        <v>0</v>
      </c>
      <c r="AO199" s="142">
        <v>0</v>
      </c>
      <c r="AP199" s="142">
        <v>0</v>
      </c>
      <c r="AQ199" s="142">
        <v>0</v>
      </c>
      <c r="AR199" s="142">
        <v>0</v>
      </c>
      <c r="AS199" s="142">
        <v>0</v>
      </c>
      <c r="AT199" s="142">
        <v>0</v>
      </c>
      <c r="AU199" s="142">
        <v>0</v>
      </c>
      <c r="AV199" s="142">
        <v>0</v>
      </c>
      <c r="AW199" s="142">
        <v>0</v>
      </c>
    </row>
    <row r="200" spans="18:49" x14ac:dyDescent="0.25">
      <c r="R200" s="141">
        <f t="shared" si="3"/>
        <v>3301.1177515894169</v>
      </c>
      <c r="S200" s="142">
        <v>0</v>
      </c>
      <c r="T200" s="142">
        <v>0</v>
      </c>
      <c r="U200" s="142">
        <v>0</v>
      </c>
      <c r="V200" s="142">
        <v>0</v>
      </c>
      <c r="W200" s="142">
        <v>0</v>
      </c>
      <c r="X200" s="142">
        <v>0</v>
      </c>
      <c r="Y200" s="142">
        <v>0</v>
      </c>
      <c r="Z200" s="142">
        <v>0</v>
      </c>
      <c r="AA200" s="142">
        <v>0</v>
      </c>
      <c r="AB200" s="142">
        <v>0</v>
      </c>
      <c r="AC200" s="142">
        <v>0</v>
      </c>
      <c r="AD200" s="142">
        <v>0</v>
      </c>
      <c r="AE200" s="142">
        <v>0</v>
      </c>
      <c r="AF200" s="142">
        <v>0</v>
      </c>
      <c r="AG200" s="142">
        <v>0</v>
      </c>
      <c r="AH200" s="142">
        <v>0</v>
      </c>
      <c r="AI200" s="142">
        <v>0</v>
      </c>
      <c r="AJ200" s="142">
        <v>0</v>
      </c>
      <c r="AK200" s="142">
        <v>0</v>
      </c>
      <c r="AL200" s="142">
        <v>0</v>
      </c>
      <c r="AM200" s="142">
        <v>0</v>
      </c>
      <c r="AN200" s="142">
        <v>0</v>
      </c>
      <c r="AO200" s="142">
        <v>0</v>
      </c>
      <c r="AP200" s="142">
        <v>0</v>
      </c>
      <c r="AQ200" s="142">
        <v>0</v>
      </c>
      <c r="AR200" s="142">
        <v>0</v>
      </c>
      <c r="AS200" s="142">
        <v>0</v>
      </c>
      <c r="AT200" s="142">
        <v>0</v>
      </c>
      <c r="AU200" s="142">
        <v>0</v>
      </c>
      <c r="AV200" s="142">
        <v>0</v>
      </c>
      <c r="AW200" s="142">
        <v>0</v>
      </c>
    </row>
    <row r="201" spans="18:49" x14ac:dyDescent="0.25">
      <c r="R201" s="141">
        <f t="shared" si="3"/>
        <v>3358.0335748926823</v>
      </c>
      <c r="S201" s="142">
        <v>0</v>
      </c>
      <c r="T201" s="142">
        <v>0</v>
      </c>
      <c r="U201" s="142">
        <v>0</v>
      </c>
      <c r="V201" s="142">
        <v>0</v>
      </c>
      <c r="W201" s="142">
        <v>0</v>
      </c>
      <c r="X201" s="142">
        <v>0</v>
      </c>
      <c r="Y201" s="142">
        <v>0</v>
      </c>
      <c r="Z201" s="142">
        <v>0</v>
      </c>
      <c r="AA201" s="142">
        <v>0</v>
      </c>
      <c r="AB201" s="142">
        <v>0</v>
      </c>
      <c r="AC201" s="142">
        <v>0</v>
      </c>
      <c r="AD201" s="142">
        <v>0</v>
      </c>
      <c r="AE201" s="142">
        <v>0</v>
      </c>
      <c r="AF201" s="142">
        <v>0</v>
      </c>
      <c r="AG201" s="142">
        <v>0</v>
      </c>
      <c r="AH201" s="142">
        <v>0</v>
      </c>
      <c r="AI201" s="142">
        <v>0</v>
      </c>
      <c r="AJ201" s="142">
        <v>0</v>
      </c>
      <c r="AK201" s="142">
        <v>0</v>
      </c>
      <c r="AL201" s="142">
        <v>0</v>
      </c>
      <c r="AM201" s="142">
        <v>0</v>
      </c>
      <c r="AN201" s="142">
        <v>0</v>
      </c>
      <c r="AO201" s="142">
        <v>0</v>
      </c>
      <c r="AP201" s="142">
        <v>0</v>
      </c>
      <c r="AQ201" s="142">
        <v>0</v>
      </c>
      <c r="AR201" s="142">
        <v>0</v>
      </c>
      <c r="AS201" s="142">
        <v>0</v>
      </c>
      <c r="AT201" s="142">
        <v>0</v>
      </c>
      <c r="AU201" s="142">
        <v>0</v>
      </c>
      <c r="AV201" s="142">
        <v>0</v>
      </c>
      <c r="AW201" s="142">
        <v>0</v>
      </c>
    </row>
    <row r="202" spans="18:49" x14ac:dyDescent="0.25">
      <c r="R202" s="141">
        <f t="shared" si="3"/>
        <v>3500</v>
      </c>
      <c r="S202" s="142"/>
      <c r="T202" s="142"/>
      <c r="U202" s="142"/>
      <c r="V202" s="142"/>
      <c r="W202" s="142"/>
      <c r="X202" s="142"/>
      <c r="Y202" s="142"/>
      <c r="Z202" s="142"/>
      <c r="AA202" s="142"/>
      <c r="AB202" s="142"/>
      <c r="AC202" s="142"/>
      <c r="AD202" s="142"/>
      <c r="AE202" s="142"/>
      <c r="AF202" s="142"/>
      <c r="AG202" s="142"/>
      <c r="AH202" s="142"/>
      <c r="AI202" s="142"/>
      <c r="AJ202" s="142"/>
      <c r="AK202" s="142"/>
      <c r="AL202" s="142"/>
      <c r="AM202" s="142"/>
      <c r="AN202" s="142"/>
      <c r="AO202" s="142"/>
      <c r="AP202" s="142"/>
      <c r="AQ202" s="142"/>
      <c r="AR202" s="142"/>
      <c r="AS202" s="142"/>
      <c r="AT202" s="142"/>
      <c r="AU202" s="142"/>
      <c r="AV202" s="142"/>
      <c r="AW202" s="142"/>
    </row>
    <row r="209" spans="17:49" x14ac:dyDescent="0.25">
      <c r="Q209" t="s">
        <v>358</v>
      </c>
    </row>
    <row r="210" spans="17:49" x14ac:dyDescent="0.25">
      <c r="Q210" s="14" t="s">
        <v>357</v>
      </c>
      <c r="R210" s="139"/>
      <c r="S210" t="s">
        <v>288</v>
      </c>
    </row>
    <row r="211" spans="17:49" x14ac:dyDescent="0.25">
      <c r="R211" s="141"/>
      <c r="S211" s="146">
        <f>S70</f>
        <v>0</v>
      </c>
      <c r="T211" s="146">
        <f t="shared" ref="T211:AW211" si="4">T70</f>
        <v>0.54861937440778163</v>
      </c>
      <c r="U211" s="146">
        <f t="shared" si="4"/>
        <v>1.2215284824543391</v>
      </c>
      <c r="V211" s="146">
        <f t="shared" si="4"/>
        <v>1.8944375905008966</v>
      </c>
      <c r="W211" s="146">
        <f t="shared" si="4"/>
        <v>2.5673466985474538</v>
      </c>
      <c r="X211" s="146">
        <f t="shared" si="4"/>
        <v>3.240255806594011</v>
      </c>
      <c r="Y211" s="146">
        <f t="shared" si="4"/>
        <v>3.9131649146405678</v>
      </c>
      <c r="Z211" s="146">
        <f t="shared" si="4"/>
        <v>4.5860740226871259</v>
      </c>
      <c r="AA211" s="146">
        <f t="shared" si="4"/>
        <v>5.2589831307336823</v>
      </c>
      <c r="AB211" s="146">
        <f t="shared" si="4"/>
        <v>5.9298016445403494</v>
      </c>
      <c r="AC211" s="146">
        <f t="shared" si="4"/>
        <v>6.5910900552124971</v>
      </c>
      <c r="AD211" s="146">
        <f t="shared" si="4"/>
        <v>7.2421904817248244</v>
      </c>
      <c r="AE211" s="146">
        <f t="shared" si="4"/>
        <v>7.8831029240773267</v>
      </c>
      <c r="AF211" s="146">
        <f t="shared" si="4"/>
        <v>8.5138273822700103</v>
      </c>
      <c r="AG211" s="146">
        <f t="shared" si="4"/>
        <v>9.1343638563028691</v>
      </c>
      <c r="AH211" s="146">
        <f t="shared" si="4"/>
        <v>9.7447123461759038</v>
      </c>
      <c r="AI211" s="146">
        <f t="shared" si="4"/>
        <v>10.344872851889122</v>
      </c>
      <c r="AJ211" s="146">
        <f t="shared" si="4"/>
        <v>10.934884056391423</v>
      </c>
      <c r="AK211" s="146">
        <f t="shared" si="4"/>
        <v>11.516198138590029</v>
      </c>
      <c r="AL211" s="146">
        <f t="shared" si="4"/>
        <v>12.089552858163778</v>
      </c>
      <c r="AM211" s="146">
        <f t="shared" si="4"/>
        <v>12.654948215112661</v>
      </c>
      <c r="AN211" s="146">
        <f t="shared" si="4"/>
        <v>13.212384209436692</v>
      </c>
      <c r="AO211" s="146">
        <f t="shared" si="4"/>
        <v>13.761860841135855</v>
      </c>
      <c r="AP211" s="146">
        <f t="shared" si="4"/>
        <v>14.303378110210154</v>
      </c>
      <c r="AQ211" s="146">
        <f t="shared" si="4"/>
        <v>14.836936016659598</v>
      </c>
      <c r="AR211" s="146">
        <f t="shared" si="4"/>
        <v>15.362534560484178</v>
      </c>
      <c r="AS211" s="146">
        <f t="shared" si="4"/>
        <v>15.880173741683901</v>
      </c>
      <c r="AT211" s="146">
        <f t="shared" si="4"/>
        <v>16.389853560258761</v>
      </c>
      <c r="AU211" s="146">
        <f t="shared" si="4"/>
        <v>16.891574016208757</v>
      </c>
      <c r="AV211" s="146">
        <f t="shared" si="4"/>
        <v>17.385335109533898</v>
      </c>
      <c r="AW211" s="146">
        <f t="shared" si="4"/>
        <v>17.871136840234175</v>
      </c>
    </row>
    <row r="212" spans="17:49" x14ac:dyDescent="0.25">
      <c r="Q212" t="s">
        <v>287</v>
      </c>
      <c r="R212" s="141">
        <f>R3</f>
        <v>0</v>
      </c>
      <c r="S212" s="142"/>
      <c r="T212" s="142"/>
      <c r="U212" s="142"/>
      <c r="V212" s="142"/>
      <c r="W212" s="142"/>
      <c r="X212" s="142"/>
      <c r="Y212" s="142"/>
      <c r="Z212" s="142"/>
      <c r="AA212" s="142"/>
      <c r="AB212" s="142"/>
      <c r="AC212" s="142"/>
      <c r="AD212" s="142"/>
      <c r="AE212" s="142"/>
      <c r="AF212" s="142"/>
      <c r="AG212" s="142"/>
      <c r="AH212" s="142"/>
      <c r="AI212" s="142"/>
      <c r="AJ212" s="142"/>
      <c r="AK212" s="142"/>
      <c r="AL212" s="142"/>
      <c r="AM212" s="142"/>
      <c r="AN212" s="142"/>
      <c r="AO212" s="142"/>
      <c r="AP212" s="142"/>
      <c r="AQ212" s="142"/>
      <c r="AR212" s="142"/>
      <c r="AS212" s="142"/>
      <c r="AT212" s="142"/>
      <c r="AU212" s="142"/>
      <c r="AV212" s="142"/>
      <c r="AW212" s="142"/>
    </row>
    <row r="213" spans="17:49" x14ac:dyDescent="0.25">
      <c r="R213" s="141">
        <f t="shared" ref="R213:R272" si="5">R4</f>
        <v>56.915823303265803</v>
      </c>
      <c r="S213" s="142">
        <v>0</v>
      </c>
      <c r="T213" s="142">
        <v>0</v>
      </c>
      <c r="U213" s="142">
        <v>0</v>
      </c>
      <c r="V213" s="142">
        <v>0</v>
      </c>
      <c r="W213" s="142">
        <v>0</v>
      </c>
      <c r="X213" s="142">
        <v>0</v>
      </c>
      <c r="Y213" s="142">
        <v>0</v>
      </c>
      <c r="Z213" s="142">
        <v>0</v>
      </c>
      <c r="AA213" s="142">
        <v>0</v>
      </c>
      <c r="AB213" s="142">
        <v>0</v>
      </c>
      <c r="AC213" s="142">
        <v>0</v>
      </c>
      <c r="AD213" s="142">
        <v>0</v>
      </c>
      <c r="AE213" s="142">
        <v>0</v>
      </c>
      <c r="AF213" s="142">
        <v>0</v>
      </c>
      <c r="AG213" s="142">
        <v>0</v>
      </c>
      <c r="AH213" s="142">
        <v>0</v>
      </c>
      <c r="AI213" s="142">
        <v>0</v>
      </c>
      <c r="AJ213" s="142">
        <v>0</v>
      </c>
      <c r="AK213" s="142">
        <v>0</v>
      </c>
      <c r="AL213" s="142">
        <v>0</v>
      </c>
      <c r="AM213" s="142">
        <v>0</v>
      </c>
      <c r="AN213" s="142">
        <v>0</v>
      </c>
      <c r="AO213" s="142">
        <v>0</v>
      </c>
      <c r="AP213" s="142">
        <v>0</v>
      </c>
      <c r="AQ213" s="142">
        <v>0</v>
      </c>
      <c r="AR213" s="142">
        <v>0</v>
      </c>
      <c r="AS213" s="142">
        <v>0</v>
      </c>
      <c r="AT213" s="142">
        <v>0</v>
      </c>
      <c r="AU213" s="142">
        <v>0</v>
      </c>
      <c r="AV213" s="142">
        <v>0</v>
      </c>
      <c r="AW213" s="142">
        <v>0</v>
      </c>
    </row>
    <row r="214" spans="17:49" x14ac:dyDescent="0.25">
      <c r="R214" s="141">
        <f t="shared" si="5"/>
        <v>113.83164660653161</v>
      </c>
      <c r="S214" s="142">
        <v>0</v>
      </c>
      <c r="T214" s="142">
        <v>0</v>
      </c>
      <c r="U214" s="142">
        <v>0</v>
      </c>
      <c r="V214" s="142">
        <v>0</v>
      </c>
      <c r="W214" s="142">
        <v>0</v>
      </c>
      <c r="X214" s="142">
        <v>0</v>
      </c>
      <c r="Y214" s="142">
        <v>0</v>
      </c>
      <c r="Z214" s="142">
        <v>0</v>
      </c>
      <c r="AA214" s="142">
        <v>0</v>
      </c>
      <c r="AB214" s="142">
        <v>0</v>
      </c>
      <c r="AC214" s="142">
        <v>0</v>
      </c>
      <c r="AD214" s="142">
        <v>0</v>
      </c>
      <c r="AE214" s="142">
        <v>0</v>
      </c>
      <c r="AF214" s="142">
        <v>0</v>
      </c>
      <c r="AG214" s="142">
        <v>0</v>
      </c>
      <c r="AH214" s="142">
        <v>0</v>
      </c>
      <c r="AI214" s="142">
        <v>0</v>
      </c>
      <c r="AJ214" s="142">
        <v>0</v>
      </c>
      <c r="AK214" s="142">
        <v>0</v>
      </c>
      <c r="AL214" s="142">
        <v>0</v>
      </c>
      <c r="AM214" s="142">
        <v>0</v>
      </c>
      <c r="AN214" s="142">
        <v>0</v>
      </c>
      <c r="AO214" s="142">
        <v>0</v>
      </c>
      <c r="AP214" s="142">
        <v>0</v>
      </c>
      <c r="AQ214" s="142">
        <v>0</v>
      </c>
      <c r="AR214" s="142">
        <v>0</v>
      </c>
      <c r="AS214" s="142">
        <v>0</v>
      </c>
      <c r="AT214" s="142">
        <v>0</v>
      </c>
      <c r="AU214" s="142">
        <v>0</v>
      </c>
      <c r="AV214" s="142">
        <v>0</v>
      </c>
      <c r="AW214" s="142">
        <v>0</v>
      </c>
    </row>
    <row r="215" spans="17:49" x14ac:dyDescent="0.25">
      <c r="R215" s="141">
        <f t="shared" si="5"/>
        <v>170.74746990979745</v>
      </c>
      <c r="S215" s="142">
        <v>0</v>
      </c>
      <c r="T215" s="142">
        <v>0</v>
      </c>
      <c r="U215" s="142">
        <v>0</v>
      </c>
      <c r="V215" s="142">
        <v>0</v>
      </c>
      <c r="W215" s="142">
        <v>0</v>
      </c>
      <c r="X215" s="142">
        <v>0</v>
      </c>
      <c r="Y215" s="142">
        <v>0</v>
      </c>
      <c r="Z215" s="142">
        <v>0</v>
      </c>
      <c r="AA215" s="142">
        <v>0</v>
      </c>
      <c r="AB215" s="142">
        <v>0</v>
      </c>
      <c r="AC215" s="142">
        <v>0</v>
      </c>
      <c r="AD215" s="142">
        <v>0</v>
      </c>
      <c r="AE215" s="142">
        <v>0</v>
      </c>
      <c r="AF215" s="142">
        <v>0</v>
      </c>
      <c r="AG215" s="142">
        <v>0</v>
      </c>
      <c r="AH215" s="142">
        <v>0</v>
      </c>
      <c r="AI215" s="142">
        <v>0</v>
      </c>
      <c r="AJ215" s="142">
        <v>0</v>
      </c>
      <c r="AK215" s="142">
        <v>0</v>
      </c>
      <c r="AL215" s="142">
        <v>0</v>
      </c>
      <c r="AM215" s="142">
        <v>0</v>
      </c>
      <c r="AN215" s="142">
        <v>0</v>
      </c>
      <c r="AO215" s="142">
        <v>0</v>
      </c>
      <c r="AP215" s="142">
        <v>0</v>
      </c>
      <c r="AQ215" s="142">
        <v>0</v>
      </c>
      <c r="AR215" s="142">
        <v>0</v>
      </c>
      <c r="AS215" s="142">
        <v>0</v>
      </c>
      <c r="AT215" s="142">
        <v>0</v>
      </c>
      <c r="AU215" s="142">
        <v>0</v>
      </c>
      <c r="AV215" s="142">
        <v>0</v>
      </c>
      <c r="AW215" s="142">
        <v>0</v>
      </c>
    </row>
    <row r="216" spans="17:49" x14ac:dyDescent="0.25">
      <c r="R216" s="141">
        <f t="shared" si="5"/>
        <v>227.66329321306321</v>
      </c>
      <c r="S216" s="142">
        <v>0</v>
      </c>
      <c r="T216" s="142">
        <v>0</v>
      </c>
      <c r="U216" s="142">
        <v>0</v>
      </c>
      <c r="V216" s="142">
        <v>0</v>
      </c>
      <c r="W216" s="142">
        <v>0</v>
      </c>
      <c r="X216" s="142">
        <v>0</v>
      </c>
      <c r="Y216" s="142">
        <v>0</v>
      </c>
      <c r="Z216" s="142">
        <v>0</v>
      </c>
      <c r="AA216" s="142">
        <v>0</v>
      </c>
      <c r="AB216" s="142">
        <v>0</v>
      </c>
      <c r="AC216" s="142">
        <v>0</v>
      </c>
      <c r="AD216" s="142">
        <v>0</v>
      </c>
      <c r="AE216" s="142">
        <v>0</v>
      </c>
      <c r="AF216" s="142">
        <v>0</v>
      </c>
      <c r="AG216" s="142">
        <v>0</v>
      </c>
      <c r="AH216" s="142">
        <v>0</v>
      </c>
      <c r="AI216" s="142">
        <v>0</v>
      </c>
      <c r="AJ216" s="142">
        <v>0</v>
      </c>
      <c r="AK216" s="142">
        <v>0</v>
      </c>
      <c r="AL216" s="142">
        <v>0</v>
      </c>
      <c r="AM216" s="142">
        <v>0</v>
      </c>
      <c r="AN216" s="142">
        <v>0</v>
      </c>
      <c r="AO216" s="142">
        <v>0</v>
      </c>
      <c r="AP216" s="142">
        <v>0</v>
      </c>
      <c r="AQ216" s="142">
        <v>0</v>
      </c>
      <c r="AR216" s="142">
        <v>0</v>
      </c>
      <c r="AS216" s="142">
        <v>0</v>
      </c>
      <c r="AT216" s="142">
        <v>0</v>
      </c>
      <c r="AU216" s="142">
        <v>0</v>
      </c>
      <c r="AV216" s="142">
        <v>0</v>
      </c>
      <c r="AW216" s="142">
        <v>0</v>
      </c>
    </row>
    <row r="217" spans="17:49" x14ac:dyDescent="0.25">
      <c r="R217" s="141">
        <f t="shared" si="5"/>
        <v>284.57911651632901</v>
      </c>
      <c r="S217" s="142">
        <v>0</v>
      </c>
      <c r="T217" s="142">
        <v>0</v>
      </c>
      <c r="U217" s="142">
        <v>0</v>
      </c>
      <c r="V217" s="142">
        <v>0</v>
      </c>
      <c r="W217" s="142">
        <v>0</v>
      </c>
      <c r="X217" s="142">
        <v>0</v>
      </c>
      <c r="Y217" s="142">
        <v>0</v>
      </c>
      <c r="Z217" s="142">
        <v>0</v>
      </c>
      <c r="AA217" s="142">
        <v>0</v>
      </c>
      <c r="AB217" s="142">
        <v>0</v>
      </c>
      <c r="AC217" s="142">
        <v>0</v>
      </c>
      <c r="AD217" s="142">
        <v>0</v>
      </c>
      <c r="AE217" s="142">
        <v>0</v>
      </c>
      <c r="AF217" s="142">
        <v>0</v>
      </c>
      <c r="AG217" s="142">
        <v>0</v>
      </c>
      <c r="AH217" s="142">
        <v>0</v>
      </c>
      <c r="AI217" s="142">
        <v>0</v>
      </c>
      <c r="AJ217" s="142">
        <v>0</v>
      </c>
      <c r="AK217" s="142">
        <v>0</v>
      </c>
      <c r="AL217" s="142">
        <v>0</v>
      </c>
      <c r="AM217" s="142">
        <v>0</v>
      </c>
      <c r="AN217" s="142">
        <v>0</v>
      </c>
      <c r="AO217" s="142">
        <v>0</v>
      </c>
      <c r="AP217" s="142">
        <v>0</v>
      </c>
      <c r="AQ217" s="142">
        <v>0</v>
      </c>
      <c r="AR217" s="142">
        <v>0</v>
      </c>
      <c r="AS217" s="142">
        <v>0</v>
      </c>
      <c r="AT217" s="142">
        <v>0</v>
      </c>
      <c r="AU217" s="142">
        <v>0</v>
      </c>
      <c r="AV217" s="142">
        <v>0</v>
      </c>
      <c r="AW217" s="142">
        <v>0</v>
      </c>
    </row>
    <row r="218" spans="17:49" x14ac:dyDescent="0.25">
      <c r="R218" s="141">
        <f t="shared" si="5"/>
        <v>341.49493981959489</v>
      </c>
      <c r="S218" s="142">
        <v>0</v>
      </c>
      <c r="T218" s="142">
        <v>0</v>
      </c>
      <c r="U218" s="142">
        <v>0</v>
      </c>
      <c r="V218" s="142">
        <v>0</v>
      </c>
      <c r="W218" s="142">
        <v>0</v>
      </c>
      <c r="X218" s="142">
        <v>0</v>
      </c>
      <c r="Y218" s="142">
        <v>0</v>
      </c>
      <c r="Z218" s="142">
        <v>0</v>
      </c>
      <c r="AA218" s="142">
        <v>0</v>
      </c>
      <c r="AB218" s="142">
        <v>0</v>
      </c>
      <c r="AC218" s="142">
        <v>0</v>
      </c>
      <c r="AD218" s="142">
        <v>0</v>
      </c>
      <c r="AE218" s="142">
        <v>0</v>
      </c>
      <c r="AF218" s="142">
        <v>0</v>
      </c>
      <c r="AG218" s="142">
        <v>0</v>
      </c>
      <c r="AH218" s="142">
        <v>0</v>
      </c>
      <c r="AI218" s="142">
        <v>0</v>
      </c>
      <c r="AJ218" s="142">
        <v>0</v>
      </c>
      <c r="AK218" s="142">
        <v>0</v>
      </c>
      <c r="AL218" s="142">
        <v>0</v>
      </c>
      <c r="AM218" s="142">
        <v>0</v>
      </c>
      <c r="AN218" s="142">
        <v>0</v>
      </c>
      <c r="AO218" s="142">
        <v>0</v>
      </c>
      <c r="AP218" s="142">
        <v>0</v>
      </c>
      <c r="AQ218" s="142">
        <v>0</v>
      </c>
      <c r="AR218" s="142">
        <v>0</v>
      </c>
      <c r="AS218" s="142">
        <v>0</v>
      </c>
      <c r="AT218" s="142">
        <v>0</v>
      </c>
      <c r="AU218" s="142">
        <v>0</v>
      </c>
      <c r="AV218" s="142">
        <v>0</v>
      </c>
      <c r="AW218" s="142">
        <v>0</v>
      </c>
    </row>
    <row r="219" spans="17:49" x14ac:dyDescent="0.25">
      <c r="R219" s="141">
        <f t="shared" si="5"/>
        <v>398.41076312286066</v>
      </c>
      <c r="S219" s="142">
        <v>0</v>
      </c>
      <c r="T219" s="142">
        <v>0</v>
      </c>
      <c r="U219" s="142">
        <v>0</v>
      </c>
      <c r="V219" s="142">
        <v>0</v>
      </c>
      <c r="W219" s="142">
        <v>0</v>
      </c>
      <c r="X219" s="142">
        <v>0</v>
      </c>
      <c r="Y219" s="142">
        <v>0</v>
      </c>
      <c r="Z219" s="142">
        <v>0</v>
      </c>
      <c r="AA219" s="142">
        <v>0</v>
      </c>
      <c r="AB219" s="142">
        <v>0</v>
      </c>
      <c r="AC219" s="142">
        <v>0</v>
      </c>
      <c r="AD219" s="142">
        <v>0</v>
      </c>
      <c r="AE219" s="142">
        <v>0</v>
      </c>
      <c r="AF219" s="142">
        <v>0</v>
      </c>
      <c r="AG219" s="142">
        <v>0</v>
      </c>
      <c r="AH219" s="142">
        <v>0</v>
      </c>
      <c r="AI219" s="142">
        <v>0</v>
      </c>
      <c r="AJ219" s="142">
        <v>0</v>
      </c>
      <c r="AK219" s="142">
        <v>0</v>
      </c>
      <c r="AL219" s="142">
        <v>0</v>
      </c>
      <c r="AM219" s="142">
        <v>0</v>
      </c>
      <c r="AN219" s="142">
        <v>0</v>
      </c>
      <c r="AO219" s="142">
        <v>0</v>
      </c>
      <c r="AP219" s="142">
        <v>0</v>
      </c>
      <c r="AQ219" s="142">
        <v>0</v>
      </c>
      <c r="AR219" s="142">
        <v>0</v>
      </c>
      <c r="AS219" s="142">
        <v>0</v>
      </c>
      <c r="AT219" s="142">
        <v>0</v>
      </c>
      <c r="AU219" s="142">
        <v>0</v>
      </c>
      <c r="AV219" s="142">
        <v>0</v>
      </c>
      <c r="AW219" s="142">
        <v>0</v>
      </c>
    </row>
    <row r="220" spans="17:49" x14ac:dyDescent="0.25">
      <c r="R220" s="141">
        <f t="shared" si="5"/>
        <v>455.32658642612643</v>
      </c>
      <c r="S220" s="142">
        <v>0</v>
      </c>
      <c r="T220" s="142">
        <v>0</v>
      </c>
      <c r="U220" s="142">
        <v>0</v>
      </c>
      <c r="V220" s="142">
        <v>0</v>
      </c>
      <c r="W220" s="142">
        <v>0</v>
      </c>
      <c r="X220" s="142">
        <v>0</v>
      </c>
      <c r="Y220" s="142">
        <v>0</v>
      </c>
      <c r="Z220" s="142">
        <v>0</v>
      </c>
      <c r="AA220" s="142">
        <v>0</v>
      </c>
      <c r="AB220" s="142">
        <v>0</v>
      </c>
      <c r="AC220" s="142">
        <v>0</v>
      </c>
      <c r="AD220" s="142">
        <v>0</v>
      </c>
      <c r="AE220" s="142">
        <v>0</v>
      </c>
      <c r="AF220" s="142">
        <v>0</v>
      </c>
      <c r="AG220" s="142">
        <v>0</v>
      </c>
      <c r="AH220" s="142">
        <v>0</v>
      </c>
      <c r="AI220" s="142">
        <v>0</v>
      </c>
      <c r="AJ220" s="142">
        <v>0</v>
      </c>
      <c r="AK220" s="142">
        <v>0</v>
      </c>
      <c r="AL220" s="142">
        <v>0</v>
      </c>
      <c r="AM220" s="142">
        <v>0</v>
      </c>
      <c r="AN220" s="142">
        <v>0</v>
      </c>
      <c r="AO220" s="142">
        <v>0</v>
      </c>
      <c r="AP220" s="142">
        <v>0</v>
      </c>
      <c r="AQ220" s="142">
        <v>0</v>
      </c>
      <c r="AR220" s="142">
        <v>0</v>
      </c>
      <c r="AS220" s="142">
        <v>0</v>
      </c>
      <c r="AT220" s="142">
        <v>0</v>
      </c>
      <c r="AU220" s="142">
        <v>0</v>
      </c>
      <c r="AV220" s="142">
        <v>0</v>
      </c>
      <c r="AW220" s="142">
        <v>0</v>
      </c>
    </row>
    <row r="221" spans="17:49" x14ac:dyDescent="0.25">
      <c r="R221" s="141">
        <f t="shared" si="5"/>
        <v>512.24240972939231</v>
      </c>
      <c r="S221" s="142">
        <v>0</v>
      </c>
      <c r="T221" s="142">
        <v>0</v>
      </c>
      <c r="U221" s="142">
        <v>0</v>
      </c>
      <c r="V221" s="142">
        <v>0</v>
      </c>
      <c r="W221" s="142">
        <v>0</v>
      </c>
      <c r="X221" s="142">
        <v>0</v>
      </c>
      <c r="Y221" s="142">
        <v>0</v>
      </c>
      <c r="Z221" s="142">
        <v>0</v>
      </c>
      <c r="AA221" s="142">
        <v>0</v>
      </c>
      <c r="AB221" s="142">
        <v>0</v>
      </c>
      <c r="AC221" s="142">
        <v>0</v>
      </c>
      <c r="AD221" s="142">
        <v>0</v>
      </c>
      <c r="AE221" s="142">
        <v>0</v>
      </c>
      <c r="AF221" s="142">
        <v>0</v>
      </c>
      <c r="AG221" s="142">
        <v>0</v>
      </c>
      <c r="AH221" s="142">
        <v>0</v>
      </c>
      <c r="AI221" s="142">
        <v>0</v>
      </c>
      <c r="AJ221" s="142">
        <v>0</v>
      </c>
      <c r="AK221" s="142">
        <v>0</v>
      </c>
      <c r="AL221" s="142">
        <v>0</v>
      </c>
      <c r="AM221" s="142">
        <v>0</v>
      </c>
      <c r="AN221" s="142">
        <v>0</v>
      </c>
      <c r="AO221" s="142">
        <v>0</v>
      </c>
      <c r="AP221" s="142">
        <v>0</v>
      </c>
      <c r="AQ221" s="142">
        <v>0</v>
      </c>
      <c r="AR221" s="142">
        <v>0</v>
      </c>
      <c r="AS221" s="142">
        <v>0</v>
      </c>
      <c r="AT221" s="142">
        <v>0</v>
      </c>
      <c r="AU221" s="142">
        <v>0</v>
      </c>
      <c r="AV221" s="142">
        <v>0</v>
      </c>
      <c r="AW221" s="142">
        <v>0</v>
      </c>
    </row>
    <row r="222" spans="17:49" x14ac:dyDescent="0.25">
      <c r="R222" s="141">
        <f t="shared" si="5"/>
        <v>569.15823303265802</v>
      </c>
      <c r="S222" s="142">
        <v>0</v>
      </c>
      <c r="T222" s="142">
        <v>0</v>
      </c>
      <c r="U222" s="142">
        <v>0</v>
      </c>
      <c r="V222" s="142">
        <v>0</v>
      </c>
      <c r="W222" s="142">
        <v>0</v>
      </c>
      <c r="X222" s="142">
        <v>0</v>
      </c>
      <c r="Y222" s="142">
        <v>0</v>
      </c>
      <c r="Z222" s="142">
        <v>0</v>
      </c>
      <c r="AA222" s="142">
        <v>0</v>
      </c>
      <c r="AB222" s="142">
        <v>0</v>
      </c>
      <c r="AC222" s="142">
        <v>0</v>
      </c>
      <c r="AD222" s="142">
        <v>0</v>
      </c>
      <c r="AE222" s="142">
        <v>0</v>
      </c>
      <c r="AF222" s="142">
        <v>0</v>
      </c>
      <c r="AG222" s="142">
        <v>0</v>
      </c>
      <c r="AH222" s="142">
        <v>0</v>
      </c>
      <c r="AI222" s="142">
        <v>0</v>
      </c>
      <c r="AJ222" s="142">
        <v>0</v>
      </c>
      <c r="AK222" s="142">
        <v>0</v>
      </c>
      <c r="AL222" s="142">
        <v>0</v>
      </c>
      <c r="AM222" s="142">
        <v>0</v>
      </c>
      <c r="AN222" s="142">
        <v>0</v>
      </c>
      <c r="AO222" s="142">
        <v>0</v>
      </c>
      <c r="AP222" s="142">
        <v>0</v>
      </c>
      <c r="AQ222" s="142">
        <v>0</v>
      </c>
      <c r="AR222" s="142">
        <v>0</v>
      </c>
      <c r="AS222" s="142">
        <v>0</v>
      </c>
      <c r="AT222" s="142">
        <v>0</v>
      </c>
      <c r="AU222" s="142">
        <v>0</v>
      </c>
      <c r="AV222" s="142">
        <v>0</v>
      </c>
      <c r="AW222" s="142">
        <v>0</v>
      </c>
    </row>
    <row r="223" spans="17:49" x14ac:dyDescent="0.25">
      <c r="R223" s="141">
        <f t="shared" si="5"/>
        <v>626.07405633592384</v>
      </c>
      <c r="S223" s="142">
        <v>0</v>
      </c>
      <c r="T223" s="142">
        <v>0</v>
      </c>
      <c r="U223" s="142">
        <v>0</v>
      </c>
      <c r="V223" s="142">
        <v>0</v>
      </c>
      <c r="W223" s="142">
        <v>0</v>
      </c>
      <c r="X223" s="142">
        <v>0</v>
      </c>
      <c r="Y223" s="142">
        <v>0</v>
      </c>
      <c r="Z223" s="142">
        <v>0</v>
      </c>
      <c r="AA223" s="142">
        <v>0</v>
      </c>
      <c r="AB223" s="142">
        <v>0</v>
      </c>
      <c r="AC223" s="142">
        <v>0</v>
      </c>
      <c r="AD223" s="142">
        <v>0</v>
      </c>
      <c r="AE223" s="142">
        <v>0</v>
      </c>
      <c r="AF223" s="142">
        <v>0</v>
      </c>
      <c r="AG223" s="142">
        <v>0</v>
      </c>
      <c r="AH223" s="142">
        <v>0</v>
      </c>
      <c r="AI223" s="142">
        <v>0</v>
      </c>
      <c r="AJ223" s="142">
        <v>0</v>
      </c>
      <c r="AK223" s="142">
        <v>0</v>
      </c>
      <c r="AL223" s="142">
        <v>0</v>
      </c>
      <c r="AM223" s="142">
        <v>0</v>
      </c>
      <c r="AN223" s="142">
        <v>0</v>
      </c>
      <c r="AO223" s="142">
        <v>0</v>
      </c>
      <c r="AP223" s="142">
        <v>0</v>
      </c>
      <c r="AQ223" s="142">
        <v>0</v>
      </c>
      <c r="AR223" s="142">
        <v>0</v>
      </c>
      <c r="AS223" s="142">
        <v>0</v>
      </c>
      <c r="AT223" s="142">
        <v>0</v>
      </c>
      <c r="AU223" s="142">
        <v>0</v>
      </c>
      <c r="AV223" s="142">
        <v>0</v>
      </c>
      <c r="AW223" s="142">
        <v>0</v>
      </c>
    </row>
    <row r="224" spans="17:49" x14ac:dyDescent="0.25">
      <c r="R224" s="141">
        <f t="shared" si="5"/>
        <v>682.98987963918978</v>
      </c>
      <c r="S224" s="142">
        <v>0</v>
      </c>
      <c r="T224" s="142">
        <v>0</v>
      </c>
      <c r="U224" s="142">
        <v>0</v>
      </c>
      <c r="V224" s="142">
        <v>0</v>
      </c>
      <c r="W224" s="142">
        <v>0</v>
      </c>
      <c r="X224" s="142">
        <v>0</v>
      </c>
      <c r="Y224" s="142">
        <v>0</v>
      </c>
      <c r="Z224" s="142">
        <v>0</v>
      </c>
      <c r="AA224" s="142">
        <v>0</v>
      </c>
      <c r="AB224" s="142">
        <v>0</v>
      </c>
      <c r="AC224" s="142">
        <v>0</v>
      </c>
      <c r="AD224" s="142">
        <v>0</v>
      </c>
      <c r="AE224" s="142">
        <v>0</v>
      </c>
      <c r="AF224" s="142">
        <v>0</v>
      </c>
      <c r="AG224" s="142">
        <v>0</v>
      </c>
      <c r="AH224" s="142">
        <v>0</v>
      </c>
      <c r="AI224" s="142">
        <v>0</v>
      </c>
      <c r="AJ224" s="142">
        <v>0</v>
      </c>
      <c r="AK224" s="142">
        <v>0</v>
      </c>
      <c r="AL224" s="142">
        <v>0</v>
      </c>
      <c r="AM224" s="142">
        <v>0</v>
      </c>
      <c r="AN224" s="142">
        <v>0</v>
      </c>
      <c r="AO224" s="142">
        <v>0</v>
      </c>
      <c r="AP224" s="142">
        <v>0</v>
      </c>
      <c r="AQ224" s="142">
        <v>0</v>
      </c>
      <c r="AR224" s="142">
        <v>0</v>
      </c>
      <c r="AS224" s="142">
        <v>0</v>
      </c>
      <c r="AT224" s="142">
        <v>0</v>
      </c>
      <c r="AU224" s="142">
        <v>0</v>
      </c>
      <c r="AV224" s="142">
        <v>0</v>
      </c>
      <c r="AW224" s="142">
        <v>0</v>
      </c>
    </row>
    <row r="225" spans="18:49" x14ac:dyDescent="0.25">
      <c r="R225" s="141">
        <f t="shared" si="5"/>
        <v>739.90570294245549</v>
      </c>
      <c r="S225" s="142">
        <v>0</v>
      </c>
      <c r="T225" s="142">
        <v>0</v>
      </c>
      <c r="U225" s="142">
        <v>0</v>
      </c>
      <c r="V225" s="142">
        <v>0</v>
      </c>
      <c r="W225" s="142">
        <v>0</v>
      </c>
      <c r="X225" s="142">
        <v>0</v>
      </c>
      <c r="Y225" s="142">
        <v>0</v>
      </c>
      <c r="Z225" s="142">
        <v>0</v>
      </c>
      <c r="AA225" s="142">
        <v>0</v>
      </c>
      <c r="AB225" s="142">
        <v>0</v>
      </c>
      <c r="AC225" s="142">
        <v>0</v>
      </c>
      <c r="AD225" s="142">
        <v>0</v>
      </c>
      <c r="AE225" s="142">
        <v>0</v>
      </c>
      <c r="AF225" s="142">
        <v>0</v>
      </c>
      <c r="AG225" s="142">
        <v>0</v>
      </c>
      <c r="AH225" s="142">
        <v>0</v>
      </c>
      <c r="AI225" s="142">
        <v>0</v>
      </c>
      <c r="AJ225" s="142">
        <v>0</v>
      </c>
      <c r="AK225" s="142">
        <v>0</v>
      </c>
      <c r="AL225" s="142">
        <v>0</v>
      </c>
      <c r="AM225" s="142">
        <v>0</v>
      </c>
      <c r="AN225" s="142">
        <v>0</v>
      </c>
      <c r="AO225" s="142">
        <v>0</v>
      </c>
      <c r="AP225" s="142">
        <v>0</v>
      </c>
      <c r="AQ225" s="142">
        <v>0</v>
      </c>
      <c r="AR225" s="142">
        <v>0</v>
      </c>
      <c r="AS225" s="142">
        <v>0</v>
      </c>
      <c r="AT225" s="142">
        <v>0</v>
      </c>
      <c r="AU225" s="142">
        <v>0</v>
      </c>
      <c r="AV225" s="142">
        <v>0</v>
      </c>
      <c r="AW225" s="142">
        <v>0</v>
      </c>
    </row>
    <row r="226" spans="18:49" x14ac:dyDescent="0.25">
      <c r="R226" s="141">
        <f t="shared" si="5"/>
        <v>796.82152624572132</v>
      </c>
      <c r="S226" s="142">
        <v>0</v>
      </c>
      <c r="T226" s="142">
        <v>0</v>
      </c>
      <c r="U226" s="142">
        <v>0</v>
      </c>
      <c r="V226" s="142">
        <v>0</v>
      </c>
      <c r="W226" s="142">
        <v>0</v>
      </c>
      <c r="X226" s="142">
        <v>0</v>
      </c>
      <c r="Y226" s="142">
        <v>0</v>
      </c>
      <c r="Z226" s="142">
        <v>0</v>
      </c>
      <c r="AA226" s="142">
        <v>0</v>
      </c>
      <c r="AB226" s="142">
        <v>0</v>
      </c>
      <c r="AC226" s="142">
        <v>0</v>
      </c>
      <c r="AD226" s="142">
        <v>0</v>
      </c>
      <c r="AE226" s="142">
        <v>0</v>
      </c>
      <c r="AF226" s="142">
        <v>0</v>
      </c>
      <c r="AG226" s="142">
        <v>0</v>
      </c>
      <c r="AH226" s="142">
        <v>0</v>
      </c>
      <c r="AI226" s="142">
        <v>0</v>
      </c>
      <c r="AJ226" s="142">
        <v>0</v>
      </c>
      <c r="AK226" s="142">
        <v>0</v>
      </c>
      <c r="AL226" s="142">
        <v>0</v>
      </c>
      <c r="AM226" s="142">
        <v>0</v>
      </c>
      <c r="AN226" s="142">
        <v>0</v>
      </c>
      <c r="AO226" s="142">
        <v>0</v>
      </c>
      <c r="AP226" s="142">
        <v>0</v>
      </c>
      <c r="AQ226" s="142">
        <v>0</v>
      </c>
      <c r="AR226" s="142">
        <v>0</v>
      </c>
      <c r="AS226" s="142">
        <v>0</v>
      </c>
      <c r="AT226" s="142">
        <v>0</v>
      </c>
      <c r="AU226" s="142">
        <v>0</v>
      </c>
      <c r="AV226" s="142">
        <v>0</v>
      </c>
      <c r="AW226" s="142">
        <v>0</v>
      </c>
    </row>
    <row r="227" spans="18:49" x14ac:dyDescent="0.25">
      <c r="R227" s="141">
        <f t="shared" si="5"/>
        <v>853.73734954898703</v>
      </c>
      <c r="S227" s="142">
        <v>0</v>
      </c>
      <c r="T227" s="142">
        <v>0</v>
      </c>
      <c r="U227" s="142">
        <v>0</v>
      </c>
      <c r="V227" s="142">
        <v>0</v>
      </c>
      <c r="W227" s="142">
        <v>0</v>
      </c>
      <c r="X227" s="142">
        <v>0</v>
      </c>
      <c r="Y227" s="142">
        <v>0</v>
      </c>
      <c r="Z227" s="142">
        <v>0</v>
      </c>
      <c r="AA227" s="142">
        <v>0</v>
      </c>
      <c r="AB227" s="142">
        <v>0</v>
      </c>
      <c r="AC227" s="142">
        <v>0</v>
      </c>
      <c r="AD227" s="142">
        <v>0</v>
      </c>
      <c r="AE227" s="142">
        <v>0</v>
      </c>
      <c r="AF227" s="142">
        <v>0</v>
      </c>
      <c r="AG227" s="142">
        <v>0</v>
      </c>
      <c r="AH227" s="142">
        <v>0</v>
      </c>
      <c r="AI227" s="142">
        <v>0</v>
      </c>
      <c r="AJ227" s="142">
        <v>0</v>
      </c>
      <c r="AK227" s="142">
        <v>0</v>
      </c>
      <c r="AL227" s="142">
        <v>0</v>
      </c>
      <c r="AM227" s="142">
        <v>0</v>
      </c>
      <c r="AN227" s="142">
        <v>0</v>
      </c>
      <c r="AO227" s="142">
        <v>0</v>
      </c>
      <c r="AP227" s="142">
        <v>0</v>
      </c>
      <c r="AQ227" s="142">
        <v>0</v>
      </c>
      <c r="AR227" s="142">
        <v>0</v>
      </c>
      <c r="AS227" s="142">
        <v>0</v>
      </c>
      <c r="AT227" s="142">
        <v>0</v>
      </c>
      <c r="AU227" s="142">
        <v>0</v>
      </c>
      <c r="AV227" s="142">
        <v>0</v>
      </c>
      <c r="AW227" s="142">
        <v>0</v>
      </c>
    </row>
    <row r="228" spans="18:49" x14ac:dyDescent="0.25">
      <c r="R228" s="141">
        <f t="shared" si="5"/>
        <v>910.65317285225285</v>
      </c>
      <c r="S228" s="142">
        <v>0</v>
      </c>
      <c r="T228" s="142">
        <v>0</v>
      </c>
      <c r="U228" s="142">
        <v>0</v>
      </c>
      <c r="V228" s="142">
        <v>0</v>
      </c>
      <c r="W228" s="142">
        <v>0</v>
      </c>
      <c r="X228" s="142">
        <v>0</v>
      </c>
      <c r="Y228" s="142">
        <v>0</v>
      </c>
      <c r="Z228" s="142">
        <v>0</v>
      </c>
      <c r="AA228" s="142">
        <v>0</v>
      </c>
      <c r="AB228" s="142">
        <v>0</v>
      </c>
      <c r="AC228" s="142">
        <v>0</v>
      </c>
      <c r="AD228" s="142">
        <v>0</v>
      </c>
      <c r="AE228" s="142">
        <v>0</v>
      </c>
      <c r="AF228" s="142">
        <v>0</v>
      </c>
      <c r="AG228" s="142">
        <v>0</v>
      </c>
      <c r="AH228" s="142">
        <v>0</v>
      </c>
      <c r="AI228" s="142">
        <v>0</v>
      </c>
      <c r="AJ228" s="142">
        <v>0</v>
      </c>
      <c r="AK228" s="142">
        <v>0</v>
      </c>
      <c r="AL228" s="142">
        <v>0</v>
      </c>
      <c r="AM228" s="142">
        <v>0</v>
      </c>
      <c r="AN228" s="142">
        <v>0</v>
      </c>
      <c r="AO228" s="142">
        <v>0</v>
      </c>
      <c r="AP228" s="142">
        <v>0</v>
      </c>
      <c r="AQ228" s="142">
        <v>0</v>
      </c>
      <c r="AR228" s="142">
        <v>0</v>
      </c>
      <c r="AS228" s="142">
        <v>0</v>
      </c>
      <c r="AT228" s="142">
        <v>0</v>
      </c>
      <c r="AU228" s="142">
        <v>0</v>
      </c>
      <c r="AV228" s="142">
        <v>0</v>
      </c>
      <c r="AW228" s="142">
        <v>0</v>
      </c>
    </row>
    <row r="229" spans="18:49" x14ac:dyDescent="0.25">
      <c r="R229" s="141">
        <f t="shared" si="5"/>
        <v>967.56899615551868</v>
      </c>
      <c r="S229" s="142">
        <v>0</v>
      </c>
      <c r="T229" s="142">
        <v>0</v>
      </c>
      <c r="U229" s="142">
        <v>0</v>
      </c>
      <c r="V229" s="142">
        <v>0</v>
      </c>
      <c r="W229" s="142">
        <v>0</v>
      </c>
      <c r="X229" s="142">
        <v>0</v>
      </c>
      <c r="Y229" s="142">
        <v>0</v>
      </c>
      <c r="Z229" s="142">
        <v>0</v>
      </c>
      <c r="AA229" s="142">
        <v>0</v>
      </c>
      <c r="AB229" s="142">
        <v>0</v>
      </c>
      <c r="AC229" s="142">
        <v>0</v>
      </c>
      <c r="AD229" s="142">
        <v>0</v>
      </c>
      <c r="AE229" s="142">
        <v>0</v>
      </c>
      <c r="AF229" s="142">
        <v>0</v>
      </c>
      <c r="AG229" s="142">
        <v>0</v>
      </c>
      <c r="AH229" s="142">
        <v>0</v>
      </c>
      <c r="AI229" s="142">
        <v>0</v>
      </c>
      <c r="AJ229" s="142">
        <v>0</v>
      </c>
      <c r="AK229" s="142">
        <v>0</v>
      </c>
      <c r="AL229" s="142">
        <v>0</v>
      </c>
      <c r="AM229" s="142">
        <v>0</v>
      </c>
      <c r="AN229" s="142">
        <v>0</v>
      </c>
      <c r="AO229" s="142">
        <v>0</v>
      </c>
      <c r="AP229" s="142">
        <v>0</v>
      </c>
      <c r="AQ229" s="142">
        <v>0</v>
      </c>
      <c r="AR229" s="142">
        <v>0</v>
      </c>
      <c r="AS229" s="142">
        <v>0</v>
      </c>
      <c r="AT229" s="142">
        <v>0</v>
      </c>
      <c r="AU229" s="142">
        <v>0</v>
      </c>
      <c r="AV229" s="142">
        <v>0</v>
      </c>
      <c r="AW229" s="142">
        <v>0</v>
      </c>
    </row>
    <row r="230" spans="18:49" x14ac:dyDescent="0.25">
      <c r="R230" s="141">
        <f t="shared" si="5"/>
        <v>1024.4848194587846</v>
      </c>
      <c r="S230" s="142">
        <v>0</v>
      </c>
      <c r="T230" s="142">
        <v>0</v>
      </c>
      <c r="U230" s="142">
        <v>0</v>
      </c>
      <c r="V230" s="142">
        <v>0</v>
      </c>
      <c r="W230" s="142">
        <v>0</v>
      </c>
      <c r="X230" s="142">
        <v>0</v>
      </c>
      <c r="Y230" s="142">
        <v>0</v>
      </c>
      <c r="Z230" s="142">
        <v>0</v>
      </c>
      <c r="AA230" s="142">
        <v>0</v>
      </c>
      <c r="AB230" s="142">
        <v>0</v>
      </c>
      <c r="AC230" s="142">
        <v>0</v>
      </c>
      <c r="AD230" s="142">
        <v>0</v>
      </c>
      <c r="AE230" s="142">
        <v>0</v>
      </c>
      <c r="AF230" s="142">
        <v>0</v>
      </c>
      <c r="AG230" s="142">
        <v>0</v>
      </c>
      <c r="AH230" s="142">
        <v>0</v>
      </c>
      <c r="AI230" s="142">
        <v>0</v>
      </c>
      <c r="AJ230" s="142">
        <v>0</v>
      </c>
      <c r="AK230" s="142">
        <v>0</v>
      </c>
      <c r="AL230" s="142">
        <v>0</v>
      </c>
      <c r="AM230" s="142">
        <v>0</v>
      </c>
      <c r="AN230" s="142">
        <v>0</v>
      </c>
      <c r="AO230" s="142">
        <v>0</v>
      </c>
      <c r="AP230" s="142">
        <v>0</v>
      </c>
      <c r="AQ230" s="142">
        <v>0</v>
      </c>
      <c r="AR230" s="142">
        <v>0</v>
      </c>
      <c r="AS230" s="142">
        <v>0</v>
      </c>
      <c r="AT230" s="142">
        <v>0</v>
      </c>
      <c r="AU230" s="142">
        <v>0</v>
      </c>
      <c r="AV230" s="142">
        <v>0</v>
      </c>
      <c r="AW230" s="142">
        <v>0</v>
      </c>
    </row>
    <row r="231" spans="18:49" x14ac:dyDescent="0.25">
      <c r="R231" s="141">
        <f t="shared" si="5"/>
        <v>1081.4006427620504</v>
      </c>
      <c r="S231" s="142">
        <v>0</v>
      </c>
      <c r="T231" s="142">
        <v>0</v>
      </c>
      <c r="U231" s="142">
        <v>0</v>
      </c>
      <c r="V231" s="142">
        <v>0</v>
      </c>
      <c r="W231" s="142">
        <v>0</v>
      </c>
      <c r="X231" s="142">
        <v>0</v>
      </c>
      <c r="Y231" s="142">
        <v>0</v>
      </c>
      <c r="Z231" s="142">
        <v>0</v>
      </c>
      <c r="AA231" s="142">
        <v>0</v>
      </c>
      <c r="AB231" s="142">
        <v>0</v>
      </c>
      <c r="AC231" s="142">
        <v>0</v>
      </c>
      <c r="AD231" s="142">
        <v>0</v>
      </c>
      <c r="AE231" s="142">
        <v>0</v>
      </c>
      <c r="AF231" s="142">
        <v>0</v>
      </c>
      <c r="AG231" s="142">
        <v>0</v>
      </c>
      <c r="AH231" s="142">
        <v>0</v>
      </c>
      <c r="AI231" s="142">
        <v>0</v>
      </c>
      <c r="AJ231" s="142">
        <v>0</v>
      </c>
      <c r="AK231" s="142">
        <v>0</v>
      </c>
      <c r="AL231" s="142">
        <v>0</v>
      </c>
      <c r="AM231" s="142">
        <v>0</v>
      </c>
      <c r="AN231" s="142">
        <v>0</v>
      </c>
      <c r="AO231" s="142">
        <v>0</v>
      </c>
      <c r="AP231" s="142">
        <v>0</v>
      </c>
      <c r="AQ231" s="142">
        <v>0</v>
      </c>
      <c r="AR231" s="142">
        <v>0</v>
      </c>
      <c r="AS231" s="142">
        <v>0</v>
      </c>
      <c r="AT231" s="142">
        <v>0</v>
      </c>
      <c r="AU231" s="142">
        <v>0</v>
      </c>
      <c r="AV231" s="142">
        <v>0</v>
      </c>
      <c r="AW231" s="142">
        <v>0</v>
      </c>
    </row>
    <row r="232" spans="18:49" x14ac:dyDescent="0.25">
      <c r="R232" s="141">
        <f t="shared" si="5"/>
        <v>1138.316466065316</v>
      </c>
      <c r="S232" s="142">
        <v>0</v>
      </c>
      <c r="T232" s="142">
        <v>0</v>
      </c>
      <c r="U232" s="142">
        <v>0</v>
      </c>
      <c r="V232" s="142">
        <v>0</v>
      </c>
      <c r="W232" s="142">
        <v>0</v>
      </c>
      <c r="X232" s="142">
        <v>0</v>
      </c>
      <c r="Y232" s="142">
        <v>0</v>
      </c>
      <c r="Z232" s="142">
        <v>0</v>
      </c>
      <c r="AA232" s="142">
        <v>0</v>
      </c>
      <c r="AB232" s="142">
        <v>0</v>
      </c>
      <c r="AC232" s="142">
        <v>0</v>
      </c>
      <c r="AD232" s="142">
        <v>0</v>
      </c>
      <c r="AE232" s="142">
        <v>0</v>
      </c>
      <c r="AF232" s="142">
        <v>0</v>
      </c>
      <c r="AG232" s="142">
        <v>0</v>
      </c>
      <c r="AH232" s="142">
        <v>0</v>
      </c>
      <c r="AI232" s="142">
        <v>0</v>
      </c>
      <c r="AJ232" s="142">
        <v>0</v>
      </c>
      <c r="AK232" s="142">
        <v>0</v>
      </c>
      <c r="AL232" s="142">
        <v>0</v>
      </c>
      <c r="AM232" s="142">
        <v>0</v>
      </c>
      <c r="AN232" s="142">
        <v>0</v>
      </c>
      <c r="AO232" s="142">
        <v>0</v>
      </c>
      <c r="AP232" s="142">
        <v>0</v>
      </c>
      <c r="AQ232" s="142">
        <v>0</v>
      </c>
      <c r="AR232" s="142">
        <v>0</v>
      </c>
      <c r="AS232" s="142">
        <v>0</v>
      </c>
      <c r="AT232" s="142">
        <v>0</v>
      </c>
      <c r="AU232" s="142">
        <v>0</v>
      </c>
      <c r="AV232" s="142">
        <v>0</v>
      </c>
      <c r="AW232" s="142">
        <v>0</v>
      </c>
    </row>
    <row r="233" spans="18:49" x14ac:dyDescent="0.25">
      <c r="R233" s="141">
        <f t="shared" si="5"/>
        <v>1195.2322893685819</v>
      </c>
      <c r="S233" s="142">
        <v>0</v>
      </c>
      <c r="T233" s="142">
        <v>0</v>
      </c>
      <c r="U233" s="142">
        <v>0</v>
      </c>
      <c r="V233" s="142">
        <v>0</v>
      </c>
      <c r="W233" s="142">
        <v>0</v>
      </c>
      <c r="X233" s="142">
        <v>0</v>
      </c>
      <c r="Y233" s="142">
        <v>0</v>
      </c>
      <c r="Z233" s="142">
        <v>0</v>
      </c>
      <c r="AA233" s="142">
        <v>0</v>
      </c>
      <c r="AB233" s="142">
        <v>0</v>
      </c>
      <c r="AC233" s="142">
        <v>0</v>
      </c>
      <c r="AD233" s="142">
        <v>0</v>
      </c>
      <c r="AE233" s="142">
        <v>0</v>
      </c>
      <c r="AF233" s="142">
        <v>0</v>
      </c>
      <c r="AG233" s="142">
        <v>0</v>
      </c>
      <c r="AH233" s="142">
        <v>0</v>
      </c>
      <c r="AI233" s="142">
        <v>0</v>
      </c>
      <c r="AJ233" s="142">
        <v>0</v>
      </c>
      <c r="AK233" s="142">
        <v>0</v>
      </c>
      <c r="AL233" s="142">
        <v>0</v>
      </c>
      <c r="AM233" s="142">
        <v>0</v>
      </c>
      <c r="AN233" s="142">
        <v>0</v>
      </c>
      <c r="AO233" s="142">
        <v>0</v>
      </c>
      <c r="AP233" s="142">
        <v>0</v>
      </c>
      <c r="AQ233" s="142">
        <v>0</v>
      </c>
      <c r="AR233" s="142">
        <v>0</v>
      </c>
      <c r="AS233" s="142">
        <v>0</v>
      </c>
      <c r="AT233" s="142">
        <v>0</v>
      </c>
      <c r="AU233" s="142">
        <v>0</v>
      </c>
      <c r="AV233" s="142">
        <v>0</v>
      </c>
      <c r="AW233" s="142">
        <v>0</v>
      </c>
    </row>
    <row r="234" spans="18:49" x14ac:dyDescent="0.25">
      <c r="R234" s="141">
        <f t="shared" si="5"/>
        <v>1252.1481126718477</v>
      </c>
      <c r="S234" s="142">
        <v>0</v>
      </c>
      <c r="T234" s="142">
        <v>0</v>
      </c>
      <c r="U234" s="142">
        <v>0</v>
      </c>
      <c r="V234" s="142">
        <v>0</v>
      </c>
      <c r="W234" s="142">
        <v>0</v>
      </c>
      <c r="X234" s="142">
        <v>0</v>
      </c>
      <c r="Y234" s="142">
        <v>0</v>
      </c>
      <c r="Z234" s="142">
        <v>0</v>
      </c>
      <c r="AA234" s="142">
        <v>0</v>
      </c>
      <c r="AB234" s="142">
        <v>0</v>
      </c>
      <c r="AC234" s="142">
        <v>0</v>
      </c>
      <c r="AD234" s="142">
        <v>0</v>
      </c>
      <c r="AE234" s="142">
        <v>0</v>
      </c>
      <c r="AF234" s="142">
        <v>0</v>
      </c>
      <c r="AG234" s="142">
        <v>0</v>
      </c>
      <c r="AH234" s="142">
        <v>0</v>
      </c>
      <c r="AI234" s="142">
        <v>0</v>
      </c>
      <c r="AJ234" s="142">
        <v>0</v>
      </c>
      <c r="AK234" s="142">
        <v>0</v>
      </c>
      <c r="AL234" s="142">
        <v>0</v>
      </c>
      <c r="AM234" s="142">
        <v>0</v>
      </c>
      <c r="AN234" s="142">
        <v>0</v>
      </c>
      <c r="AO234" s="142">
        <v>0</v>
      </c>
      <c r="AP234" s="142">
        <v>0</v>
      </c>
      <c r="AQ234" s="142">
        <v>0</v>
      </c>
      <c r="AR234" s="142">
        <v>0</v>
      </c>
      <c r="AS234" s="142">
        <v>0</v>
      </c>
      <c r="AT234" s="142">
        <v>0</v>
      </c>
      <c r="AU234" s="142">
        <v>0</v>
      </c>
      <c r="AV234" s="142">
        <v>0</v>
      </c>
      <c r="AW234" s="142">
        <v>0</v>
      </c>
    </row>
    <row r="235" spans="18:49" x14ac:dyDescent="0.25">
      <c r="R235" s="141">
        <f t="shared" si="5"/>
        <v>1309.0639359751137</v>
      </c>
      <c r="S235" s="142">
        <v>0</v>
      </c>
      <c r="T235" s="142">
        <v>0</v>
      </c>
      <c r="U235" s="142">
        <v>0</v>
      </c>
      <c r="V235" s="142">
        <v>0</v>
      </c>
      <c r="W235" s="142">
        <v>0</v>
      </c>
      <c r="X235" s="142">
        <v>0</v>
      </c>
      <c r="Y235" s="142">
        <v>0</v>
      </c>
      <c r="Z235" s="142">
        <v>0</v>
      </c>
      <c r="AA235" s="142">
        <v>0</v>
      </c>
      <c r="AB235" s="142">
        <v>0</v>
      </c>
      <c r="AC235" s="142">
        <v>0</v>
      </c>
      <c r="AD235" s="142">
        <v>0</v>
      </c>
      <c r="AE235" s="142">
        <v>0</v>
      </c>
      <c r="AF235" s="142">
        <v>0</v>
      </c>
      <c r="AG235" s="142">
        <v>0</v>
      </c>
      <c r="AH235" s="142">
        <v>0</v>
      </c>
      <c r="AI235" s="142">
        <v>0</v>
      </c>
      <c r="AJ235" s="142">
        <v>0</v>
      </c>
      <c r="AK235" s="142">
        <v>0</v>
      </c>
      <c r="AL235" s="142">
        <v>0</v>
      </c>
      <c r="AM235" s="142">
        <v>0</v>
      </c>
      <c r="AN235" s="142">
        <v>0</v>
      </c>
      <c r="AO235" s="142">
        <v>0</v>
      </c>
      <c r="AP235" s="142">
        <v>0</v>
      </c>
      <c r="AQ235" s="142">
        <v>0</v>
      </c>
      <c r="AR235" s="142">
        <v>0</v>
      </c>
      <c r="AS235" s="142">
        <v>0</v>
      </c>
      <c r="AT235" s="142">
        <v>0</v>
      </c>
      <c r="AU235" s="142">
        <v>0</v>
      </c>
      <c r="AV235" s="142">
        <v>0</v>
      </c>
      <c r="AW235" s="142">
        <v>0</v>
      </c>
    </row>
    <row r="236" spans="18:49" x14ac:dyDescent="0.25">
      <c r="R236" s="141">
        <f t="shared" si="5"/>
        <v>1365.9797592783796</v>
      </c>
      <c r="S236" s="142">
        <v>0</v>
      </c>
      <c r="T236" s="142">
        <v>0</v>
      </c>
      <c r="U236" s="142">
        <v>0</v>
      </c>
      <c r="V236" s="142">
        <v>0</v>
      </c>
      <c r="W236" s="142">
        <v>0</v>
      </c>
      <c r="X236" s="142">
        <v>0</v>
      </c>
      <c r="Y236" s="142">
        <v>0</v>
      </c>
      <c r="Z236" s="142">
        <v>0</v>
      </c>
      <c r="AA236" s="142">
        <v>0</v>
      </c>
      <c r="AB236" s="142">
        <v>0</v>
      </c>
      <c r="AC236" s="142">
        <v>0</v>
      </c>
      <c r="AD236" s="142">
        <v>0</v>
      </c>
      <c r="AE236" s="142">
        <v>0</v>
      </c>
      <c r="AF236" s="142">
        <v>0</v>
      </c>
      <c r="AG236" s="142">
        <v>0</v>
      </c>
      <c r="AH236" s="142">
        <v>0</v>
      </c>
      <c r="AI236" s="142">
        <v>0</v>
      </c>
      <c r="AJ236" s="142">
        <v>0</v>
      </c>
      <c r="AK236" s="142">
        <v>0</v>
      </c>
      <c r="AL236" s="142">
        <v>0</v>
      </c>
      <c r="AM236" s="142">
        <v>0</v>
      </c>
      <c r="AN236" s="142">
        <v>0</v>
      </c>
      <c r="AO236" s="142">
        <v>0</v>
      </c>
      <c r="AP236" s="142">
        <v>0</v>
      </c>
      <c r="AQ236" s="142">
        <v>0</v>
      </c>
      <c r="AR236" s="142">
        <v>0</v>
      </c>
      <c r="AS236" s="142">
        <v>0</v>
      </c>
      <c r="AT236" s="142">
        <v>0</v>
      </c>
      <c r="AU236" s="142">
        <v>0</v>
      </c>
      <c r="AV236" s="142">
        <v>0</v>
      </c>
      <c r="AW236" s="142">
        <v>0</v>
      </c>
    </row>
    <row r="237" spans="18:49" x14ac:dyDescent="0.25">
      <c r="R237" s="141">
        <f t="shared" si="5"/>
        <v>1422.8955825816452</v>
      </c>
      <c r="S237" s="142">
        <v>0</v>
      </c>
      <c r="T237" s="142">
        <v>0</v>
      </c>
      <c r="U237" s="142">
        <v>0</v>
      </c>
      <c r="V237" s="142">
        <v>0</v>
      </c>
      <c r="W237" s="142">
        <v>0</v>
      </c>
      <c r="X237" s="142">
        <v>0</v>
      </c>
      <c r="Y237" s="142">
        <v>0</v>
      </c>
      <c r="Z237" s="142">
        <v>0</v>
      </c>
      <c r="AA237" s="142">
        <v>0</v>
      </c>
      <c r="AB237" s="142">
        <v>0</v>
      </c>
      <c r="AC237" s="142">
        <v>0</v>
      </c>
      <c r="AD237" s="142">
        <v>0</v>
      </c>
      <c r="AE237" s="142">
        <v>0</v>
      </c>
      <c r="AF237" s="142">
        <v>0</v>
      </c>
      <c r="AG237" s="142">
        <v>0</v>
      </c>
      <c r="AH237" s="142">
        <v>0</v>
      </c>
      <c r="AI237" s="142">
        <v>0</v>
      </c>
      <c r="AJ237" s="142">
        <v>0</v>
      </c>
      <c r="AK237" s="142">
        <v>0</v>
      </c>
      <c r="AL237" s="142">
        <v>0</v>
      </c>
      <c r="AM237" s="142">
        <v>0</v>
      </c>
      <c r="AN237" s="142">
        <v>0</v>
      </c>
      <c r="AO237" s="142">
        <v>0</v>
      </c>
      <c r="AP237" s="142">
        <v>0</v>
      </c>
      <c r="AQ237" s="142">
        <v>0</v>
      </c>
      <c r="AR237" s="142">
        <v>0</v>
      </c>
      <c r="AS237" s="142">
        <v>0</v>
      </c>
      <c r="AT237" s="142">
        <v>0</v>
      </c>
      <c r="AU237" s="142">
        <v>0</v>
      </c>
      <c r="AV237" s="142">
        <v>0</v>
      </c>
      <c r="AW237" s="142">
        <v>0</v>
      </c>
    </row>
    <row r="238" spans="18:49" x14ac:dyDescent="0.25">
      <c r="R238" s="141">
        <f t="shared" si="5"/>
        <v>1479.811405884911</v>
      </c>
      <c r="S238" s="142">
        <v>0</v>
      </c>
      <c r="T238" s="142">
        <v>0</v>
      </c>
      <c r="U238" s="142">
        <v>0</v>
      </c>
      <c r="V238" s="142">
        <v>0</v>
      </c>
      <c r="W238" s="142">
        <v>0</v>
      </c>
      <c r="X238" s="142">
        <v>0</v>
      </c>
      <c r="Y238" s="142">
        <v>0</v>
      </c>
      <c r="Z238" s="142">
        <v>0</v>
      </c>
      <c r="AA238" s="142">
        <v>0</v>
      </c>
      <c r="AB238" s="142">
        <v>0</v>
      </c>
      <c r="AC238" s="142">
        <v>0</v>
      </c>
      <c r="AD238" s="142">
        <v>0</v>
      </c>
      <c r="AE238" s="142">
        <v>0</v>
      </c>
      <c r="AF238" s="142">
        <v>0</v>
      </c>
      <c r="AG238" s="142">
        <v>0</v>
      </c>
      <c r="AH238" s="142">
        <v>0</v>
      </c>
      <c r="AI238" s="142">
        <v>0</v>
      </c>
      <c r="AJ238" s="142">
        <v>0</v>
      </c>
      <c r="AK238" s="142">
        <v>0</v>
      </c>
      <c r="AL238" s="142">
        <v>0</v>
      </c>
      <c r="AM238" s="142">
        <v>0</v>
      </c>
      <c r="AN238" s="142">
        <v>0</v>
      </c>
      <c r="AO238" s="142">
        <v>0</v>
      </c>
      <c r="AP238" s="142">
        <v>0</v>
      </c>
      <c r="AQ238" s="142">
        <v>0</v>
      </c>
      <c r="AR238" s="142">
        <v>0</v>
      </c>
      <c r="AS238" s="142">
        <v>0</v>
      </c>
      <c r="AT238" s="142">
        <v>0</v>
      </c>
      <c r="AU238" s="142">
        <v>0</v>
      </c>
      <c r="AV238" s="142">
        <v>0</v>
      </c>
      <c r="AW238" s="142">
        <v>0</v>
      </c>
    </row>
    <row r="239" spans="18:49" x14ac:dyDescent="0.25">
      <c r="R239" s="141">
        <f t="shared" si="5"/>
        <v>1536.7272291881768</v>
      </c>
      <c r="S239" s="142">
        <v>0</v>
      </c>
      <c r="T239" s="142">
        <v>0</v>
      </c>
      <c r="U239" s="142">
        <v>0</v>
      </c>
      <c r="V239" s="142">
        <v>0</v>
      </c>
      <c r="W239" s="142">
        <v>0</v>
      </c>
      <c r="X239" s="142">
        <v>0</v>
      </c>
      <c r="Y239" s="142">
        <v>0</v>
      </c>
      <c r="Z239" s="142">
        <v>0</v>
      </c>
      <c r="AA239" s="142">
        <v>0</v>
      </c>
      <c r="AB239" s="142">
        <v>0</v>
      </c>
      <c r="AC239" s="142">
        <v>0</v>
      </c>
      <c r="AD239" s="142">
        <v>0</v>
      </c>
      <c r="AE239" s="142">
        <v>0</v>
      </c>
      <c r="AF239" s="142">
        <v>0</v>
      </c>
      <c r="AG239" s="142">
        <v>0</v>
      </c>
      <c r="AH239" s="142">
        <v>0</v>
      </c>
      <c r="AI239" s="142">
        <v>0</v>
      </c>
      <c r="AJ239" s="142">
        <v>0</v>
      </c>
      <c r="AK239" s="142">
        <v>0</v>
      </c>
      <c r="AL239" s="142">
        <v>0</v>
      </c>
      <c r="AM239" s="142">
        <v>0</v>
      </c>
      <c r="AN239" s="142">
        <v>0</v>
      </c>
      <c r="AO239" s="142">
        <v>0</v>
      </c>
      <c r="AP239" s="142">
        <v>0</v>
      </c>
      <c r="AQ239" s="142">
        <v>0</v>
      </c>
      <c r="AR239" s="142">
        <v>0</v>
      </c>
      <c r="AS239" s="142">
        <v>0</v>
      </c>
      <c r="AT239" s="142">
        <v>0</v>
      </c>
      <c r="AU239" s="142">
        <v>0</v>
      </c>
      <c r="AV239" s="142">
        <v>0</v>
      </c>
      <c r="AW239" s="142">
        <v>0</v>
      </c>
    </row>
    <row r="240" spans="18:49" x14ac:dyDescent="0.25">
      <c r="R240" s="141">
        <f t="shared" si="5"/>
        <v>1593.6430524914426</v>
      </c>
      <c r="S240" s="142">
        <v>0</v>
      </c>
      <c r="T240" s="142">
        <v>0</v>
      </c>
      <c r="U240" s="142">
        <v>0</v>
      </c>
      <c r="V240" s="142">
        <v>0</v>
      </c>
      <c r="W240" s="142">
        <v>0</v>
      </c>
      <c r="X240" s="142">
        <v>0</v>
      </c>
      <c r="Y240" s="142">
        <v>0</v>
      </c>
      <c r="Z240" s="142">
        <v>0</v>
      </c>
      <c r="AA240" s="142">
        <v>0</v>
      </c>
      <c r="AB240" s="142">
        <v>0</v>
      </c>
      <c r="AC240" s="142">
        <v>0</v>
      </c>
      <c r="AD240" s="142">
        <v>0</v>
      </c>
      <c r="AE240" s="142">
        <v>0</v>
      </c>
      <c r="AF240" s="142">
        <v>0</v>
      </c>
      <c r="AG240" s="142">
        <v>0</v>
      </c>
      <c r="AH240" s="142">
        <v>0</v>
      </c>
      <c r="AI240" s="142">
        <v>0</v>
      </c>
      <c r="AJ240" s="142">
        <v>0</v>
      </c>
      <c r="AK240" s="142">
        <v>0</v>
      </c>
      <c r="AL240" s="142">
        <v>0</v>
      </c>
      <c r="AM240" s="142">
        <v>0</v>
      </c>
      <c r="AN240" s="142">
        <v>0</v>
      </c>
      <c r="AO240" s="142">
        <v>0</v>
      </c>
      <c r="AP240" s="142">
        <v>0</v>
      </c>
      <c r="AQ240" s="142">
        <v>0</v>
      </c>
      <c r="AR240" s="142">
        <v>0</v>
      </c>
      <c r="AS240" s="142">
        <v>0</v>
      </c>
      <c r="AT240" s="142">
        <v>0</v>
      </c>
      <c r="AU240" s="142">
        <v>0</v>
      </c>
      <c r="AV240" s="142">
        <v>0</v>
      </c>
      <c r="AW240" s="142">
        <v>0</v>
      </c>
    </row>
    <row r="241" spans="18:49" x14ac:dyDescent="0.25">
      <c r="R241" s="141">
        <f t="shared" si="5"/>
        <v>1650.5588757947085</v>
      </c>
      <c r="S241" s="142">
        <v>0</v>
      </c>
      <c r="T241" s="142">
        <v>0</v>
      </c>
      <c r="U241" s="142">
        <v>0</v>
      </c>
      <c r="V241" s="142">
        <v>0</v>
      </c>
      <c r="W241" s="142">
        <v>0</v>
      </c>
      <c r="X241" s="142">
        <v>0</v>
      </c>
      <c r="Y241" s="142">
        <v>0</v>
      </c>
      <c r="Z241" s="142">
        <v>0</v>
      </c>
      <c r="AA241" s="142">
        <v>0</v>
      </c>
      <c r="AB241" s="142">
        <v>0</v>
      </c>
      <c r="AC241" s="142">
        <v>0</v>
      </c>
      <c r="AD241" s="142">
        <v>0</v>
      </c>
      <c r="AE241" s="142">
        <v>0</v>
      </c>
      <c r="AF241" s="142">
        <v>0</v>
      </c>
      <c r="AG241" s="142">
        <v>0</v>
      </c>
      <c r="AH241" s="142">
        <v>0</v>
      </c>
      <c r="AI241" s="142">
        <v>0</v>
      </c>
      <c r="AJ241" s="142">
        <v>0</v>
      </c>
      <c r="AK241" s="142">
        <v>0</v>
      </c>
      <c r="AL241" s="142">
        <v>0</v>
      </c>
      <c r="AM241" s="142">
        <v>0</v>
      </c>
      <c r="AN241" s="142">
        <v>0</v>
      </c>
      <c r="AO241" s="142">
        <v>0</v>
      </c>
      <c r="AP241" s="142">
        <v>0</v>
      </c>
      <c r="AQ241" s="142">
        <v>0</v>
      </c>
      <c r="AR241" s="142">
        <v>0</v>
      </c>
      <c r="AS241" s="142">
        <v>0</v>
      </c>
      <c r="AT241" s="142">
        <v>0</v>
      </c>
      <c r="AU241" s="142">
        <v>0</v>
      </c>
      <c r="AV241" s="142">
        <v>0</v>
      </c>
      <c r="AW241" s="142">
        <v>0</v>
      </c>
    </row>
    <row r="242" spans="18:49" x14ac:dyDescent="0.25">
      <c r="R242" s="141">
        <f t="shared" si="5"/>
        <v>1707.4746990979741</v>
      </c>
      <c r="S242" s="142">
        <v>0</v>
      </c>
      <c r="T242" s="142">
        <v>0</v>
      </c>
      <c r="U242" s="142">
        <v>0</v>
      </c>
      <c r="V242" s="142">
        <v>0</v>
      </c>
      <c r="W242" s="142">
        <v>0</v>
      </c>
      <c r="X242" s="142">
        <v>0</v>
      </c>
      <c r="Y242" s="142">
        <v>0</v>
      </c>
      <c r="Z242" s="142">
        <v>0</v>
      </c>
      <c r="AA242" s="142">
        <v>0</v>
      </c>
      <c r="AB242" s="142">
        <v>0</v>
      </c>
      <c r="AC242" s="142">
        <v>0</v>
      </c>
      <c r="AD242" s="142">
        <v>0</v>
      </c>
      <c r="AE242" s="142">
        <v>0</v>
      </c>
      <c r="AF242" s="142">
        <v>0</v>
      </c>
      <c r="AG242" s="142">
        <v>0</v>
      </c>
      <c r="AH242" s="142">
        <v>0</v>
      </c>
      <c r="AI242" s="142">
        <v>0</v>
      </c>
      <c r="AJ242" s="142">
        <v>0</v>
      </c>
      <c r="AK242" s="142">
        <v>0</v>
      </c>
      <c r="AL242" s="142">
        <v>0</v>
      </c>
      <c r="AM242" s="142">
        <v>0</v>
      </c>
      <c r="AN242" s="142">
        <v>0</v>
      </c>
      <c r="AO242" s="142">
        <v>0</v>
      </c>
      <c r="AP242" s="142">
        <v>0</v>
      </c>
      <c r="AQ242" s="142">
        <v>0</v>
      </c>
      <c r="AR242" s="142">
        <v>0</v>
      </c>
      <c r="AS242" s="142">
        <v>0</v>
      </c>
      <c r="AT242" s="142">
        <v>0</v>
      </c>
      <c r="AU242" s="142">
        <v>0</v>
      </c>
      <c r="AV242" s="142">
        <v>0</v>
      </c>
      <c r="AW242" s="142">
        <v>0</v>
      </c>
    </row>
    <row r="243" spans="18:49" x14ac:dyDescent="0.25">
      <c r="R243" s="141">
        <f t="shared" si="5"/>
        <v>1764.3905224012399</v>
      </c>
      <c r="S243" s="142">
        <v>0</v>
      </c>
      <c r="T243" s="142">
        <v>0</v>
      </c>
      <c r="U243" s="142">
        <v>0</v>
      </c>
      <c r="V243" s="142">
        <v>0</v>
      </c>
      <c r="W243" s="142">
        <v>0</v>
      </c>
      <c r="X243" s="142">
        <v>0</v>
      </c>
      <c r="Y243" s="142">
        <v>0</v>
      </c>
      <c r="Z243" s="142">
        <v>0</v>
      </c>
      <c r="AA243" s="142">
        <v>0</v>
      </c>
      <c r="AB243" s="142">
        <v>0</v>
      </c>
      <c r="AC243" s="142">
        <v>0</v>
      </c>
      <c r="AD243" s="142">
        <v>0</v>
      </c>
      <c r="AE243" s="142">
        <v>0</v>
      </c>
      <c r="AF243" s="142">
        <v>0</v>
      </c>
      <c r="AG243" s="142">
        <v>0</v>
      </c>
      <c r="AH243" s="142">
        <v>0</v>
      </c>
      <c r="AI243" s="142">
        <v>0</v>
      </c>
      <c r="AJ243" s="142">
        <v>0</v>
      </c>
      <c r="AK243" s="142">
        <v>0</v>
      </c>
      <c r="AL243" s="142">
        <v>0</v>
      </c>
      <c r="AM243" s="142">
        <v>0</v>
      </c>
      <c r="AN243" s="142">
        <v>0</v>
      </c>
      <c r="AO243" s="142">
        <v>0</v>
      </c>
      <c r="AP243" s="142">
        <v>0</v>
      </c>
      <c r="AQ243" s="142">
        <v>0</v>
      </c>
      <c r="AR243" s="142">
        <v>0</v>
      </c>
      <c r="AS243" s="142">
        <v>0</v>
      </c>
      <c r="AT243" s="142">
        <v>0</v>
      </c>
      <c r="AU243" s="142">
        <v>0</v>
      </c>
      <c r="AV243" s="142">
        <v>0</v>
      </c>
      <c r="AW243" s="142">
        <v>0</v>
      </c>
    </row>
    <row r="244" spans="18:49" x14ac:dyDescent="0.25">
      <c r="R244" s="141">
        <f t="shared" si="5"/>
        <v>1821.3063457045057</v>
      </c>
      <c r="S244" s="142">
        <v>0</v>
      </c>
      <c r="T244" s="142">
        <v>0</v>
      </c>
      <c r="U244" s="142">
        <v>0</v>
      </c>
      <c r="V244" s="142">
        <v>0</v>
      </c>
      <c r="W244" s="142">
        <v>0</v>
      </c>
      <c r="X244" s="142">
        <v>0</v>
      </c>
      <c r="Y244" s="142">
        <v>0</v>
      </c>
      <c r="Z244" s="142">
        <v>0</v>
      </c>
      <c r="AA244" s="142">
        <v>0</v>
      </c>
      <c r="AB244" s="142">
        <v>0</v>
      </c>
      <c r="AC244" s="142">
        <v>0</v>
      </c>
      <c r="AD244" s="142">
        <v>0</v>
      </c>
      <c r="AE244" s="142">
        <v>0</v>
      </c>
      <c r="AF244" s="142">
        <v>0</v>
      </c>
      <c r="AG244" s="142">
        <v>0</v>
      </c>
      <c r="AH244" s="142">
        <v>0</v>
      </c>
      <c r="AI244" s="142">
        <v>0</v>
      </c>
      <c r="AJ244" s="142">
        <v>0</v>
      </c>
      <c r="AK244" s="142">
        <v>0</v>
      </c>
      <c r="AL244" s="142">
        <v>0</v>
      </c>
      <c r="AM244" s="142">
        <v>0</v>
      </c>
      <c r="AN244" s="142">
        <v>0</v>
      </c>
      <c r="AO244" s="142">
        <v>0</v>
      </c>
      <c r="AP244" s="142">
        <v>0</v>
      </c>
      <c r="AQ244" s="142">
        <v>0</v>
      </c>
      <c r="AR244" s="142">
        <v>0</v>
      </c>
      <c r="AS244" s="142">
        <v>0</v>
      </c>
      <c r="AT244" s="142">
        <v>0</v>
      </c>
      <c r="AU244" s="142">
        <v>0</v>
      </c>
      <c r="AV244" s="142">
        <v>0</v>
      </c>
      <c r="AW244" s="142">
        <v>0</v>
      </c>
    </row>
    <row r="245" spans="18:49" x14ac:dyDescent="0.25">
      <c r="R245" s="141">
        <f t="shared" si="5"/>
        <v>1878.2221690077715</v>
      </c>
      <c r="S245" s="142">
        <v>0</v>
      </c>
      <c r="T245" s="142">
        <v>0</v>
      </c>
      <c r="U245" s="142">
        <v>0</v>
      </c>
      <c r="V245" s="142">
        <v>0</v>
      </c>
      <c r="W245" s="142">
        <v>0</v>
      </c>
      <c r="X245" s="142">
        <v>0</v>
      </c>
      <c r="Y245" s="142">
        <v>0</v>
      </c>
      <c r="Z245" s="142">
        <v>0</v>
      </c>
      <c r="AA245" s="142">
        <v>0</v>
      </c>
      <c r="AB245" s="142">
        <v>0</v>
      </c>
      <c r="AC245" s="142">
        <v>0</v>
      </c>
      <c r="AD245" s="142">
        <v>0</v>
      </c>
      <c r="AE245" s="142">
        <v>0</v>
      </c>
      <c r="AF245" s="142">
        <v>0</v>
      </c>
      <c r="AG245" s="142">
        <v>0</v>
      </c>
      <c r="AH245" s="142">
        <v>0</v>
      </c>
      <c r="AI245" s="142">
        <v>0</v>
      </c>
      <c r="AJ245" s="142">
        <v>0</v>
      </c>
      <c r="AK245" s="142">
        <v>0</v>
      </c>
      <c r="AL245" s="142">
        <v>0</v>
      </c>
      <c r="AM245" s="142">
        <v>0</v>
      </c>
      <c r="AN245" s="142">
        <v>0</v>
      </c>
      <c r="AO245" s="142">
        <v>0</v>
      </c>
      <c r="AP245" s="142">
        <v>0</v>
      </c>
      <c r="AQ245" s="142">
        <v>0</v>
      </c>
      <c r="AR245" s="142">
        <v>0</v>
      </c>
      <c r="AS245" s="142">
        <v>0</v>
      </c>
      <c r="AT245" s="142">
        <v>0</v>
      </c>
      <c r="AU245" s="142">
        <v>0</v>
      </c>
      <c r="AV245" s="142">
        <v>0</v>
      </c>
      <c r="AW245" s="142">
        <v>0</v>
      </c>
    </row>
    <row r="246" spans="18:49" x14ac:dyDescent="0.25">
      <c r="R246" s="141">
        <f t="shared" si="5"/>
        <v>1935.1379923110374</v>
      </c>
      <c r="S246" s="142">
        <v>0</v>
      </c>
      <c r="T246" s="142">
        <v>0</v>
      </c>
      <c r="U246" s="142">
        <v>0</v>
      </c>
      <c r="V246" s="142">
        <v>0</v>
      </c>
      <c r="W246" s="142">
        <v>0</v>
      </c>
      <c r="X246" s="142">
        <v>0</v>
      </c>
      <c r="Y246" s="142">
        <v>0</v>
      </c>
      <c r="Z246" s="142">
        <v>0</v>
      </c>
      <c r="AA246" s="142">
        <v>0</v>
      </c>
      <c r="AB246" s="142">
        <v>0</v>
      </c>
      <c r="AC246" s="142">
        <v>0</v>
      </c>
      <c r="AD246" s="142">
        <v>0</v>
      </c>
      <c r="AE246" s="142">
        <v>0</v>
      </c>
      <c r="AF246" s="142">
        <v>0</v>
      </c>
      <c r="AG246" s="142">
        <v>0</v>
      </c>
      <c r="AH246" s="142">
        <v>0</v>
      </c>
      <c r="AI246" s="142">
        <v>0</v>
      </c>
      <c r="AJ246" s="142">
        <v>0</v>
      </c>
      <c r="AK246" s="142">
        <v>0</v>
      </c>
      <c r="AL246" s="142">
        <v>0</v>
      </c>
      <c r="AM246" s="142">
        <v>0</v>
      </c>
      <c r="AN246" s="142">
        <v>0</v>
      </c>
      <c r="AO246" s="142">
        <v>0</v>
      </c>
      <c r="AP246" s="142">
        <v>0</v>
      </c>
      <c r="AQ246" s="142">
        <v>0</v>
      </c>
      <c r="AR246" s="142">
        <v>0</v>
      </c>
      <c r="AS246" s="142">
        <v>0</v>
      </c>
      <c r="AT246" s="142">
        <v>0</v>
      </c>
      <c r="AU246" s="142">
        <v>0</v>
      </c>
      <c r="AV246" s="142">
        <v>0</v>
      </c>
      <c r="AW246" s="142">
        <v>0</v>
      </c>
    </row>
    <row r="247" spans="18:49" x14ac:dyDescent="0.25">
      <c r="R247" s="141">
        <f t="shared" si="5"/>
        <v>1992.0538156143032</v>
      </c>
      <c r="S247" s="142">
        <v>0</v>
      </c>
      <c r="T247" s="142">
        <v>0</v>
      </c>
      <c r="U247" s="142">
        <v>0</v>
      </c>
      <c r="V247" s="142">
        <v>0</v>
      </c>
      <c r="W247" s="142">
        <v>0</v>
      </c>
      <c r="X247" s="142">
        <v>0</v>
      </c>
      <c r="Y247" s="142">
        <v>0</v>
      </c>
      <c r="Z247" s="142">
        <v>0</v>
      </c>
      <c r="AA247" s="142">
        <v>0</v>
      </c>
      <c r="AB247" s="142">
        <v>0</v>
      </c>
      <c r="AC247" s="142">
        <v>0</v>
      </c>
      <c r="AD247" s="142">
        <v>0</v>
      </c>
      <c r="AE247" s="142">
        <v>0</v>
      </c>
      <c r="AF247" s="142">
        <v>0</v>
      </c>
      <c r="AG247" s="142">
        <v>0</v>
      </c>
      <c r="AH247" s="142">
        <v>0</v>
      </c>
      <c r="AI247" s="142">
        <v>0</v>
      </c>
      <c r="AJ247" s="142">
        <v>0</v>
      </c>
      <c r="AK247" s="142">
        <v>0</v>
      </c>
      <c r="AL247" s="142">
        <v>0</v>
      </c>
      <c r="AM247" s="142">
        <v>0</v>
      </c>
      <c r="AN247" s="142">
        <v>0</v>
      </c>
      <c r="AO247" s="142">
        <v>0</v>
      </c>
      <c r="AP247" s="142">
        <v>0</v>
      </c>
      <c r="AQ247" s="142">
        <v>0</v>
      </c>
      <c r="AR247" s="142">
        <v>0</v>
      </c>
      <c r="AS247" s="142">
        <v>0</v>
      </c>
      <c r="AT247" s="142">
        <v>0</v>
      </c>
      <c r="AU247" s="142">
        <v>0</v>
      </c>
      <c r="AV247" s="142">
        <v>0</v>
      </c>
      <c r="AW247" s="142">
        <v>0</v>
      </c>
    </row>
    <row r="248" spans="18:49" x14ac:dyDescent="0.25">
      <c r="R248" s="141">
        <f t="shared" si="5"/>
        <v>2048.9696389175692</v>
      </c>
      <c r="S248" s="142">
        <v>0</v>
      </c>
      <c r="T248" s="142">
        <v>0</v>
      </c>
      <c r="U248" s="142">
        <v>0</v>
      </c>
      <c r="V248" s="142">
        <v>0</v>
      </c>
      <c r="W248" s="142">
        <v>0</v>
      </c>
      <c r="X248" s="142">
        <v>0</v>
      </c>
      <c r="Y248" s="142">
        <v>0</v>
      </c>
      <c r="Z248" s="142">
        <v>0</v>
      </c>
      <c r="AA248" s="142">
        <v>0</v>
      </c>
      <c r="AB248" s="142">
        <v>0</v>
      </c>
      <c r="AC248" s="142">
        <v>0</v>
      </c>
      <c r="AD248" s="142">
        <v>0</v>
      </c>
      <c r="AE248" s="142">
        <v>0</v>
      </c>
      <c r="AF248" s="142">
        <v>0</v>
      </c>
      <c r="AG248" s="142">
        <v>0</v>
      </c>
      <c r="AH248" s="142">
        <v>0</v>
      </c>
      <c r="AI248" s="142">
        <v>0</v>
      </c>
      <c r="AJ248" s="142">
        <v>0</v>
      </c>
      <c r="AK248" s="142">
        <v>0</v>
      </c>
      <c r="AL248" s="142">
        <v>0</v>
      </c>
      <c r="AM248" s="142">
        <v>0</v>
      </c>
      <c r="AN248" s="142">
        <v>0</v>
      </c>
      <c r="AO248" s="142">
        <v>0</v>
      </c>
      <c r="AP248" s="142">
        <v>0</v>
      </c>
      <c r="AQ248" s="142">
        <v>0</v>
      </c>
      <c r="AR248" s="142">
        <v>0</v>
      </c>
      <c r="AS248" s="142">
        <v>0</v>
      </c>
      <c r="AT248" s="142">
        <v>0</v>
      </c>
      <c r="AU248" s="142">
        <v>0</v>
      </c>
      <c r="AV248" s="142">
        <v>0</v>
      </c>
      <c r="AW248" s="142">
        <v>0</v>
      </c>
    </row>
    <row r="249" spans="18:49" x14ac:dyDescent="0.25">
      <c r="R249" s="141">
        <f t="shared" si="5"/>
        <v>2105.8854622208351</v>
      </c>
      <c r="S249" s="142">
        <v>0</v>
      </c>
      <c r="T249" s="142">
        <v>0</v>
      </c>
      <c r="U249" s="142">
        <v>0</v>
      </c>
      <c r="V249" s="142">
        <v>0</v>
      </c>
      <c r="W249" s="142">
        <v>0</v>
      </c>
      <c r="X249" s="142">
        <v>0</v>
      </c>
      <c r="Y249" s="142">
        <v>0</v>
      </c>
      <c r="Z249" s="142">
        <v>0</v>
      </c>
      <c r="AA249" s="142">
        <v>0</v>
      </c>
      <c r="AB249" s="142">
        <v>0</v>
      </c>
      <c r="AC249" s="142">
        <v>0</v>
      </c>
      <c r="AD249" s="142">
        <v>0</v>
      </c>
      <c r="AE249" s="142">
        <v>0</v>
      </c>
      <c r="AF249" s="142">
        <v>0</v>
      </c>
      <c r="AG249" s="142">
        <v>0</v>
      </c>
      <c r="AH249" s="142">
        <v>0</v>
      </c>
      <c r="AI249" s="142">
        <v>0</v>
      </c>
      <c r="AJ249" s="142">
        <v>0</v>
      </c>
      <c r="AK249" s="142">
        <v>0</v>
      </c>
      <c r="AL249" s="142">
        <v>0</v>
      </c>
      <c r="AM249" s="142">
        <v>0</v>
      </c>
      <c r="AN249" s="142">
        <v>0</v>
      </c>
      <c r="AO249" s="142">
        <v>0</v>
      </c>
      <c r="AP249" s="142">
        <v>0</v>
      </c>
      <c r="AQ249" s="142">
        <v>0</v>
      </c>
      <c r="AR249" s="142">
        <v>0</v>
      </c>
      <c r="AS249" s="142">
        <v>0</v>
      </c>
      <c r="AT249" s="142">
        <v>0</v>
      </c>
      <c r="AU249" s="142">
        <v>0</v>
      </c>
      <c r="AV249" s="142">
        <v>0</v>
      </c>
      <c r="AW249" s="142">
        <v>0</v>
      </c>
    </row>
    <row r="250" spans="18:49" x14ac:dyDescent="0.25">
      <c r="R250" s="141">
        <f t="shared" si="5"/>
        <v>2162.8012855241009</v>
      </c>
      <c r="S250" s="142">
        <v>0</v>
      </c>
      <c r="T250" s="142">
        <v>0</v>
      </c>
      <c r="U250" s="142">
        <v>0</v>
      </c>
      <c r="V250" s="142">
        <v>0</v>
      </c>
      <c r="W250" s="142">
        <v>0</v>
      </c>
      <c r="X250" s="142">
        <v>0</v>
      </c>
      <c r="Y250" s="142">
        <v>0</v>
      </c>
      <c r="Z250" s="142">
        <v>0</v>
      </c>
      <c r="AA250" s="142">
        <v>0</v>
      </c>
      <c r="AB250" s="142">
        <v>0</v>
      </c>
      <c r="AC250" s="142">
        <v>0</v>
      </c>
      <c r="AD250" s="142">
        <v>0</v>
      </c>
      <c r="AE250" s="142">
        <v>0</v>
      </c>
      <c r="AF250" s="142">
        <v>0</v>
      </c>
      <c r="AG250" s="142">
        <v>0</v>
      </c>
      <c r="AH250" s="142">
        <v>0</v>
      </c>
      <c r="AI250" s="142">
        <v>0</v>
      </c>
      <c r="AJ250" s="142">
        <v>0</v>
      </c>
      <c r="AK250" s="142">
        <v>0</v>
      </c>
      <c r="AL250" s="142">
        <v>0</v>
      </c>
      <c r="AM250" s="142">
        <v>0</v>
      </c>
      <c r="AN250" s="142">
        <v>0</v>
      </c>
      <c r="AO250" s="142">
        <v>0</v>
      </c>
      <c r="AP250" s="142">
        <v>0</v>
      </c>
      <c r="AQ250" s="142">
        <v>0</v>
      </c>
      <c r="AR250" s="142">
        <v>0</v>
      </c>
      <c r="AS250" s="142">
        <v>0</v>
      </c>
      <c r="AT250" s="142">
        <v>0</v>
      </c>
      <c r="AU250" s="142">
        <v>0</v>
      </c>
      <c r="AV250" s="142">
        <v>0</v>
      </c>
      <c r="AW250" s="142">
        <v>0</v>
      </c>
    </row>
    <row r="251" spans="18:49" x14ac:dyDescent="0.25">
      <c r="R251" s="141">
        <f t="shared" si="5"/>
        <v>2219.7171088273667</v>
      </c>
      <c r="S251" s="142">
        <v>0</v>
      </c>
      <c r="T251" s="142">
        <v>0</v>
      </c>
      <c r="U251" s="142">
        <v>0</v>
      </c>
      <c r="V251" s="142">
        <v>0</v>
      </c>
      <c r="W251" s="142">
        <v>0</v>
      </c>
      <c r="X251" s="142">
        <v>0</v>
      </c>
      <c r="Y251" s="142">
        <v>0</v>
      </c>
      <c r="Z251" s="142">
        <v>0</v>
      </c>
      <c r="AA251" s="142">
        <v>0</v>
      </c>
      <c r="AB251" s="142">
        <v>0</v>
      </c>
      <c r="AC251" s="142">
        <v>0</v>
      </c>
      <c r="AD251" s="142">
        <v>0</v>
      </c>
      <c r="AE251" s="142">
        <v>0</v>
      </c>
      <c r="AF251" s="142">
        <v>0</v>
      </c>
      <c r="AG251" s="142">
        <v>0</v>
      </c>
      <c r="AH251" s="142">
        <v>0</v>
      </c>
      <c r="AI251" s="142">
        <v>0</v>
      </c>
      <c r="AJ251" s="142">
        <v>0</v>
      </c>
      <c r="AK251" s="142">
        <v>0</v>
      </c>
      <c r="AL251" s="142">
        <v>0</v>
      </c>
      <c r="AM251" s="142">
        <v>0</v>
      </c>
      <c r="AN251" s="142">
        <v>0</v>
      </c>
      <c r="AO251" s="142">
        <v>0</v>
      </c>
      <c r="AP251" s="142">
        <v>0</v>
      </c>
      <c r="AQ251" s="142">
        <v>0</v>
      </c>
      <c r="AR251" s="142">
        <v>0</v>
      </c>
      <c r="AS251" s="142">
        <v>0</v>
      </c>
      <c r="AT251" s="142">
        <v>0</v>
      </c>
      <c r="AU251" s="142">
        <v>0</v>
      </c>
      <c r="AV251" s="142">
        <v>0</v>
      </c>
      <c r="AW251" s="142">
        <v>0</v>
      </c>
    </row>
    <row r="252" spans="18:49" x14ac:dyDescent="0.25">
      <c r="R252" s="141">
        <f t="shared" si="5"/>
        <v>2276.6329321306321</v>
      </c>
      <c r="S252" s="142">
        <v>0</v>
      </c>
      <c r="T252" s="142">
        <v>0</v>
      </c>
      <c r="U252" s="142">
        <v>0</v>
      </c>
      <c r="V252" s="142">
        <v>0</v>
      </c>
      <c r="W252" s="142">
        <v>0</v>
      </c>
      <c r="X252" s="142">
        <v>0</v>
      </c>
      <c r="Y252" s="142">
        <v>0</v>
      </c>
      <c r="Z252" s="142">
        <v>0</v>
      </c>
      <c r="AA252" s="142">
        <v>0</v>
      </c>
      <c r="AB252" s="142">
        <v>0</v>
      </c>
      <c r="AC252" s="142">
        <v>0</v>
      </c>
      <c r="AD252" s="142">
        <v>0</v>
      </c>
      <c r="AE252" s="142">
        <v>0</v>
      </c>
      <c r="AF252" s="142">
        <v>0</v>
      </c>
      <c r="AG252" s="142">
        <v>0</v>
      </c>
      <c r="AH252" s="142">
        <v>0</v>
      </c>
      <c r="AI252" s="142">
        <v>0</v>
      </c>
      <c r="AJ252" s="142">
        <v>0</v>
      </c>
      <c r="AK252" s="142">
        <v>0</v>
      </c>
      <c r="AL252" s="142">
        <v>0</v>
      </c>
      <c r="AM252" s="142">
        <v>0</v>
      </c>
      <c r="AN252" s="142">
        <v>0</v>
      </c>
      <c r="AO252" s="142">
        <v>0</v>
      </c>
      <c r="AP252" s="142">
        <v>0</v>
      </c>
      <c r="AQ252" s="142">
        <v>0</v>
      </c>
      <c r="AR252" s="142">
        <v>0</v>
      </c>
      <c r="AS252" s="142">
        <v>0</v>
      </c>
      <c r="AT252" s="142">
        <v>0</v>
      </c>
      <c r="AU252" s="142">
        <v>0</v>
      </c>
      <c r="AV252" s="142">
        <v>0</v>
      </c>
      <c r="AW252" s="142">
        <v>0</v>
      </c>
    </row>
    <row r="253" spans="18:49" x14ac:dyDescent="0.25">
      <c r="R253" s="141">
        <f t="shared" si="5"/>
        <v>2333.5487554338979</v>
      </c>
      <c r="S253" s="142">
        <v>0</v>
      </c>
      <c r="T253" s="142">
        <v>0</v>
      </c>
      <c r="U253" s="142">
        <v>0</v>
      </c>
      <c r="V253" s="142">
        <v>0</v>
      </c>
      <c r="W253" s="142">
        <v>0</v>
      </c>
      <c r="X253" s="142">
        <v>0</v>
      </c>
      <c r="Y253" s="142">
        <v>0</v>
      </c>
      <c r="Z253" s="142">
        <v>0</v>
      </c>
      <c r="AA253" s="142">
        <v>0</v>
      </c>
      <c r="AB253" s="142">
        <v>0</v>
      </c>
      <c r="AC253" s="142">
        <v>0</v>
      </c>
      <c r="AD253" s="142">
        <v>0</v>
      </c>
      <c r="AE253" s="142">
        <v>0</v>
      </c>
      <c r="AF253" s="142">
        <v>0</v>
      </c>
      <c r="AG253" s="142">
        <v>0</v>
      </c>
      <c r="AH253" s="142">
        <v>0</v>
      </c>
      <c r="AI253" s="142">
        <v>0</v>
      </c>
      <c r="AJ253" s="142">
        <v>0</v>
      </c>
      <c r="AK253" s="142">
        <v>0</v>
      </c>
      <c r="AL253" s="142">
        <v>0</v>
      </c>
      <c r="AM253" s="142">
        <v>0</v>
      </c>
      <c r="AN253" s="142">
        <v>0</v>
      </c>
      <c r="AO253" s="142">
        <v>0</v>
      </c>
      <c r="AP253" s="142">
        <v>0</v>
      </c>
      <c r="AQ253" s="142">
        <v>0</v>
      </c>
      <c r="AR253" s="142">
        <v>0</v>
      </c>
      <c r="AS253" s="142">
        <v>0</v>
      </c>
      <c r="AT253" s="142">
        <v>0</v>
      </c>
      <c r="AU253" s="142">
        <v>0</v>
      </c>
      <c r="AV253" s="142">
        <v>0</v>
      </c>
      <c r="AW253" s="142">
        <v>0</v>
      </c>
    </row>
    <row r="254" spans="18:49" x14ac:dyDescent="0.25">
      <c r="R254" s="141">
        <f t="shared" si="5"/>
        <v>2390.4645787371637</v>
      </c>
      <c r="S254" s="142">
        <v>0</v>
      </c>
      <c r="T254" s="142">
        <v>0</v>
      </c>
      <c r="U254" s="142">
        <v>0</v>
      </c>
      <c r="V254" s="142">
        <v>0</v>
      </c>
      <c r="W254" s="142">
        <v>0</v>
      </c>
      <c r="X254" s="142">
        <v>0</v>
      </c>
      <c r="Y254" s="142">
        <v>0</v>
      </c>
      <c r="Z254" s="142">
        <v>0</v>
      </c>
      <c r="AA254" s="142">
        <v>0</v>
      </c>
      <c r="AB254" s="142">
        <v>0</v>
      </c>
      <c r="AC254" s="142">
        <v>0</v>
      </c>
      <c r="AD254" s="142">
        <v>0</v>
      </c>
      <c r="AE254" s="142">
        <v>0</v>
      </c>
      <c r="AF254" s="142">
        <v>0</v>
      </c>
      <c r="AG254" s="142">
        <v>0</v>
      </c>
      <c r="AH254" s="142">
        <v>0</v>
      </c>
      <c r="AI254" s="142">
        <v>0</v>
      </c>
      <c r="AJ254" s="142">
        <v>0</v>
      </c>
      <c r="AK254" s="142">
        <v>0</v>
      </c>
      <c r="AL254" s="142">
        <v>0</v>
      </c>
      <c r="AM254" s="142">
        <v>0</v>
      </c>
      <c r="AN254" s="142">
        <v>0</v>
      </c>
      <c r="AO254" s="142">
        <v>0</v>
      </c>
      <c r="AP254" s="142">
        <v>0</v>
      </c>
      <c r="AQ254" s="142">
        <v>0</v>
      </c>
      <c r="AR254" s="142">
        <v>0</v>
      </c>
      <c r="AS254" s="142">
        <v>0</v>
      </c>
      <c r="AT254" s="142">
        <v>0</v>
      </c>
      <c r="AU254" s="142">
        <v>0</v>
      </c>
      <c r="AV254" s="142">
        <v>0</v>
      </c>
      <c r="AW254" s="142">
        <v>0</v>
      </c>
    </row>
    <row r="255" spans="18:49" x14ac:dyDescent="0.25">
      <c r="R255" s="141">
        <f t="shared" si="5"/>
        <v>2447.3804020404295</v>
      </c>
      <c r="S255" s="142">
        <v>0</v>
      </c>
      <c r="T255" s="142">
        <v>0</v>
      </c>
      <c r="U255" s="142">
        <v>0</v>
      </c>
      <c r="V255" s="142">
        <v>0</v>
      </c>
      <c r="W255" s="142">
        <v>0</v>
      </c>
      <c r="X255" s="142">
        <v>0</v>
      </c>
      <c r="Y255" s="142">
        <v>0</v>
      </c>
      <c r="Z255" s="142">
        <v>0</v>
      </c>
      <c r="AA255" s="142">
        <v>0</v>
      </c>
      <c r="AB255" s="142">
        <v>0</v>
      </c>
      <c r="AC255" s="142">
        <v>0</v>
      </c>
      <c r="AD255" s="142">
        <v>0</v>
      </c>
      <c r="AE255" s="142">
        <v>0</v>
      </c>
      <c r="AF255" s="142">
        <v>0</v>
      </c>
      <c r="AG255" s="142">
        <v>0</v>
      </c>
      <c r="AH255" s="142">
        <v>0</v>
      </c>
      <c r="AI255" s="142">
        <v>0</v>
      </c>
      <c r="AJ255" s="142">
        <v>0</v>
      </c>
      <c r="AK255" s="142">
        <v>0</v>
      </c>
      <c r="AL255" s="142">
        <v>0</v>
      </c>
      <c r="AM255" s="142">
        <v>0</v>
      </c>
      <c r="AN255" s="142">
        <v>0</v>
      </c>
      <c r="AO255" s="142">
        <v>0</v>
      </c>
      <c r="AP255" s="142">
        <v>0</v>
      </c>
      <c r="AQ255" s="142">
        <v>0</v>
      </c>
      <c r="AR255" s="142">
        <v>0</v>
      </c>
      <c r="AS255" s="142">
        <v>0</v>
      </c>
      <c r="AT255" s="142">
        <v>0</v>
      </c>
      <c r="AU255" s="142">
        <v>0</v>
      </c>
      <c r="AV255" s="142">
        <v>0</v>
      </c>
      <c r="AW255" s="142">
        <v>0</v>
      </c>
    </row>
    <row r="256" spans="18:49" x14ac:dyDescent="0.25">
      <c r="R256" s="141">
        <f t="shared" si="5"/>
        <v>2504.2962253436954</v>
      </c>
      <c r="S256" s="142">
        <v>0</v>
      </c>
      <c r="T256" s="142">
        <v>0</v>
      </c>
      <c r="U256" s="142">
        <v>0</v>
      </c>
      <c r="V256" s="142">
        <v>0</v>
      </c>
      <c r="W256" s="142">
        <v>0</v>
      </c>
      <c r="X256" s="142">
        <v>0</v>
      </c>
      <c r="Y256" s="142">
        <v>0</v>
      </c>
      <c r="Z256" s="142">
        <v>0</v>
      </c>
      <c r="AA256" s="142">
        <v>0</v>
      </c>
      <c r="AB256" s="142">
        <v>0</v>
      </c>
      <c r="AC256" s="142">
        <v>0</v>
      </c>
      <c r="AD256" s="142">
        <v>0</v>
      </c>
      <c r="AE256" s="142">
        <v>0</v>
      </c>
      <c r="AF256" s="142">
        <v>0</v>
      </c>
      <c r="AG256" s="142">
        <v>0</v>
      </c>
      <c r="AH256" s="142">
        <v>0</v>
      </c>
      <c r="AI256" s="142">
        <v>0</v>
      </c>
      <c r="AJ256" s="142">
        <v>0</v>
      </c>
      <c r="AK256" s="142">
        <v>0</v>
      </c>
      <c r="AL256" s="142">
        <v>0</v>
      </c>
      <c r="AM256" s="142">
        <v>0</v>
      </c>
      <c r="AN256" s="142">
        <v>0</v>
      </c>
      <c r="AO256" s="142">
        <v>0</v>
      </c>
      <c r="AP256" s="142">
        <v>0</v>
      </c>
      <c r="AQ256" s="142">
        <v>0</v>
      </c>
      <c r="AR256" s="142">
        <v>0</v>
      </c>
      <c r="AS256" s="142">
        <v>0</v>
      </c>
      <c r="AT256" s="142">
        <v>0</v>
      </c>
      <c r="AU256" s="142">
        <v>0</v>
      </c>
      <c r="AV256" s="142">
        <v>0</v>
      </c>
      <c r="AW256" s="142">
        <v>0</v>
      </c>
    </row>
    <row r="257" spans="18:49" x14ac:dyDescent="0.25">
      <c r="R257" s="141">
        <f t="shared" si="5"/>
        <v>2561.2120486469612</v>
      </c>
      <c r="S257" s="142">
        <v>0</v>
      </c>
      <c r="T257" s="142">
        <v>0</v>
      </c>
      <c r="U257" s="142">
        <v>0</v>
      </c>
      <c r="V257" s="142">
        <v>0</v>
      </c>
      <c r="W257" s="142">
        <v>0</v>
      </c>
      <c r="X257" s="142">
        <v>0</v>
      </c>
      <c r="Y257" s="142">
        <v>0</v>
      </c>
      <c r="Z257" s="142">
        <v>0</v>
      </c>
      <c r="AA257" s="142">
        <v>0</v>
      </c>
      <c r="AB257" s="142">
        <v>0</v>
      </c>
      <c r="AC257" s="142">
        <v>0</v>
      </c>
      <c r="AD257" s="142">
        <v>0</v>
      </c>
      <c r="AE257" s="142">
        <v>0</v>
      </c>
      <c r="AF257" s="142">
        <v>0</v>
      </c>
      <c r="AG257" s="142">
        <v>0</v>
      </c>
      <c r="AH257" s="142">
        <v>0</v>
      </c>
      <c r="AI257" s="142">
        <v>0</v>
      </c>
      <c r="AJ257" s="142">
        <v>0</v>
      </c>
      <c r="AK257" s="142">
        <v>0</v>
      </c>
      <c r="AL257" s="142">
        <v>0</v>
      </c>
      <c r="AM257" s="142">
        <v>0</v>
      </c>
      <c r="AN257" s="142">
        <v>0</v>
      </c>
      <c r="AO257" s="142">
        <v>0</v>
      </c>
      <c r="AP257" s="142">
        <v>0</v>
      </c>
      <c r="AQ257" s="142">
        <v>0</v>
      </c>
      <c r="AR257" s="142">
        <v>0</v>
      </c>
      <c r="AS257" s="142">
        <v>0</v>
      </c>
      <c r="AT257" s="142">
        <v>0</v>
      </c>
      <c r="AU257" s="142">
        <v>0</v>
      </c>
      <c r="AV257" s="142">
        <v>0</v>
      </c>
      <c r="AW257" s="142">
        <v>0</v>
      </c>
    </row>
    <row r="258" spans="18:49" x14ac:dyDescent="0.25">
      <c r="R258" s="141">
        <f t="shared" si="5"/>
        <v>2618.1278719502275</v>
      </c>
      <c r="S258" s="142">
        <v>0</v>
      </c>
      <c r="T258" s="142">
        <v>0</v>
      </c>
      <c r="U258" s="142">
        <v>0</v>
      </c>
      <c r="V258" s="142">
        <v>0</v>
      </c>
      <c r="W258" s="142">
        <v>0</v>
      </c>
      <c r="X258" s="142">
        <v>0</v>
      </c>
      <c r="Y258" s="142">
        <v>0</v>
      </c>
      <c r="Z258" s="142">
        <v>0</v>
      </c>
      <c r="AA258" s="142">
        <v>0</v>
      </c>
      <c r="AB258" s="142">
        <v>0</v>
      </c>
      <c r="AC258" s="142">
        <v>0</v>
      </c>
      <c r="AD258" s="142">
        <v>0</v>
      </c>
      <c r="AE258" s="142">
        <v>0</v>
      </c>
      <c r="AF258" s="142">
        <v>0</v>
      </c>
      <c r="AG258" s="142">
        <v>0</v>
      </c>
      <c r="AH258" s="142">
        <v>0</v>
      </c>
      <c r="AI258" s="142">
        <v>0</v>
      </c>
      <c r="AJ258" s="142">
        <v>0</v>
      </c>
      <c r="AK258" s="142">
        <v>0</v>
      </c>
      <c r="AL258" s="142">
        <v>0</v>
      </c>
      <c r="AM258" s="142">
        <v>0</v>
      </c>
      <c r="AN258" s="142">
        <v>0</v>
      </c>
      <c r="AO258" s="142">
        <v>0</v>
      </c>
      <c r="AP258" s="142">
        <v>0</v>
      </c>
      <c r="AQ258" s="142">
        <v>0</v>
      </c>
      <c r="AR258" s="142">
        <v>0</v>
      </c>
      <c r="AS258" s="142">
        <v>0</v>
      </c>
      <c r="AT258" s="142">
        <v>0</v>
      </c>
      <c r="AU258" s="142">
        <v>0</v>
      </c>
      <c r="AV258" s="142">
        <v>0</v>
      </c>
      <c r="AW258" s="142">
        <v>0</v>
      </c>
    </row>
    <row r="259" spans="18:49" x14ac:dyDescent="0.25">
      <c r="R259" s="141">
        <f t="shared" si="5"/>
        <v>2675.0436952534928</v>
      </c>
      <c r="S259" s="142">
        <v>0</v>
      </c>
      <c r="T259" s="142">
        <v>0</v>
      </c>
      <c r="U259" s="142">
        <v>0</v>
      </c>
      <c r="V259" s="142">
        <v>0</v>
      </c>
      <c r="W259" s="142">
        <v>0</v>
      </c>
      <c r="X259" s="142">
        <v>0</v>
      </c>
      <c r="Y259" s="142">
        <v>0</v>
      </c>
      <c r="Z259" s="142">
        <v>0</v>
      </c>
      <c r="AA259" s="142">
        <v>0</v>
      </c>
      <c r="AB259" s="142">
        <v>0</v>
      </c>
      <c r="AC259" s="142">
        <v>0</v>
      </c>
      <c r="AD259" s="142">
        <v>0</v>
      </c>
      <c r="AE259" s="142">
        <v>0</v>
      </c>
      <c r="AF259" s="142">
        <v>0</v>
      </c>
      <c r="AG259" s="142">
        <v>0</v>
      </c>
      <c r="AH259" s="142">
        <v>0</v>
      </c>
      <c r="AI259" s="142">
        <v>0</v>
      </c>
      <c r="AJ259" s="142">
        <v>0</v>
      </c>
      <c r="AK259" s="142">
        <v>0</v>
      </c>
      <c r="AL259" s="142">
        <v>0</v>
      </c>
      <c r="AM259" s="142">
        <v>0</v>
      </c>
      <c r="AN259" s="142">
        <v>0</v>
      </c>
      <c r="AO259" s="142">
        <v>0</v>
      </c>
      <c r="AP259" s="142">
        <v>0</v>
      </c>
      <c r="AQ259" s="142">
        <v>0</v>
      </c>
      <c r="AR259" s="142">
        <v>0</v>
      </c>
      <c r="AS259" s="142">
        <v>0</v>
      </c>
      <c r="AT259" s="142">
        <v>0</v>
      </c>
      <c r="AU259" s="142">
        <v>0</v>
      </c>
      <c r="AV259" s="142">
        <v>0</v>
      </c>
      <c r="AW259" s="142">
        <v>0</v>
      </c>
    </row>
    <row r="260" spans="18:49" x14ac:dyDescent="0.25">
      <c r="R260" s="141">
        <f t="shared" si="5"/>
        <v>2731.9595185567591</v>
      </c>
      <c r="S260" s="142">
        <v>0</v>
      </c>
      <c r="T260" s="142">
        <v>0</v>
      </c>
      <c r="U260" s="142">
        <v>0</v>
      </c>
      <c r="V260" s="142">
        <v>0</v>
      </c>
      <c r="W260" s="142">
        <v>0</v>
      </c>
      <c r="X260" s="142">
        <v>0</v>
      </c>
      <c r="Y260" s="142">
        <v>0</v>
      </c>
      <c r="Z260" s="142">
        <v>0</v>
      </c>
      <c r="AA260" s="142">
        <v>0</v>
      </c>
      <c r="AB260" s="142">
        <v>0</v>
      </c>
      <c r="AC260" s="142">
        <v>0</v>
      </c>
      <c r="AD260" s="142">
        <v>0</v>
      </c>
      <c r="AE260" s="142">
        <v>0</v>
      </c>
      <c r="AF260" s="142">
        <v>0</v>
      </c>
      <c r="AG260" s="142">
        <v>0</v>
      </c>
      <c r="AH260" s="142">
        <v>0</v>
      </c>
      <c r="AI260" s="142">
        <v>0</v>
      </c>
      <c r="AJ260" s="142">
        <v>0</v>
      </c>
      <c r="AK260" s="142">
        <v>0</v>
      </c>
      <c r="AL260" s="142">
        <v>0</v>
      </c>
      <c r="AM260" s="142">
        <v>0</v>
      </c>
      <c r="AN260" s="142">
        <v>0</v>
      </c>
      <c r="AO260" s="142">
        <v>0</v>
      </c>
      <c r="AP260" s="142">
        <v>0</v>
      </c>
      <c r="AQ260" s="142">
        <v>0</v>
      </c>
      <c r="AR260" s="142">
        <v>0</v>
      </c>
      <c r="AS260" s="142">
        <v>0</v>
      </c>
      <c r="AT260" s="142">
        <v>0</v>
      </c>
      <c r="AU260" s="142">
        <v>0</v>
      </c>
      <c r="AV260" s="142">
        <v>0</v>
      </c>
      <c r="AW260" s="142">
        <v>0</v>
      </c>
    </row>
    <row r="261" spans="18:49" x14ac:dyDescent="0.25">
      <c r="R261" s="141">
        <f t="shared" si="5"/>
        <v>2788.8753418600245</v>
      </c>
      <c r="S261" s="142">
        <v>0</v>
      </c>
      <c r="T261" s="142">
        <v>0</v>
      </c>
      <c r="U261" s="142">
        <v>0</v>
      </c>
      <c r="V261" s="142">
        <v>0</v>
      </c>
      <c r="W261" s="142">
        <v>0</v>
      </c>
      <c r="X261" s="142">
        <v>0</v>
      </c>
      <c r="Y261" s="142">
        <v>0</v>
      </c>
      <c r="Z261" s="142">
        <v>0</v>
      </c>
      <c r="AA261" s="142">
        <v>0</v>
      </c>
      <c r="AB261" s="142">
        <v>0</v>
      </c>
      <c r="AC261" s="142">
        <v>0</v>
      </c>
      <c r="AD261" s="142">
        <v>0</v>
      </c>
      <c r="AE261" s="142">
        <v>0</v>
      </c>
      <c r="AF261" s="142">
        <v>0</v>
      </c>
      <c r="AG261" s="142">
        <v>0</v>
      </c>
      <c r="AH261" s="142">
        <v>0</v>
      </c>
      <c r="AI261" s="142">
        <v>0</v>
      </c>
      <c r="AJ261" s="142">
        <v>0</v>
      </c>
      <c r="AK261" s="142">
        <v>0</v>
      </c>
      <c r="AL261" s="142">
        <v>0</v>
      </c>
      <c r="AM261" s="142">
        <v>0</v>
      </c>
      <c r="AN261" s="142">
        <v>0</v>
      </c>
      <c r="AO261" s="142">
        <v>0</v>
      </c>
      <c r="AP261" s="142">
        <v>0</v>
      </c>
      <c r="AQ261" s="142">
        <v>0</v>
      </c>
      <c r="AR261" s="142">
        <v>0</v>
      </c>
      <c r="AS261" s="142">
        <v>0</v>
      </c>
      <c r="AT261" s="142">
        <v>0</v>
      </c>
      <c r="AU261" s="142">
        <v>0</v>
      </c>
      <c r="AV261" s="142">
        <v>0</v>
      </c>
      <c r="AW261" s="142">
        <v>0</v>
      </c>
    </row>
    <row r="262" spans="18:49" x14ac:dyDescent="0.25">
      <c r="R262" s="141">
        <f t="shared" si="5"/>
        <v>2845.7911651632903</v>
      </c>
      <c r="S262" s="142">
        <v>0</v>
      </c>
      <c r="T262" s="142">
        <v>0</v>
      </c>
      <c r="U262" s="142">
        <v>0</v>
      </c>
      <c r="V262" s="142">
        <v>0</v>
      </c>
      <c r="W262" s="142">
        <v>0</v>
      </c>
      <c r="X262" s="142">
        <v>0</v>
      </c>
      <c r="Y262" s="142">
        <v>0</v>
      </c>
      <c r="Z262" s="142">
        <v>0</v>
      </c>
      <c r="AA262" s="142">
        <v>0</v>
      </c>
      <c r="AB262" s="142">
        <v>0</v>
      </c>
      <c r="AC262" s="142">
        <v>0</v>
      </c>
      <c r="AD262" s="142">
        <v>0</v>
      </c>
      <c r="AE262" s="142">
        <v>0</v>
      </c>
      <c r="AF262" s="142">
        <v>0</v>
      </c>
      <c r="AG262" s="142">
        <v>0</v>
      </c>
      <c r="AH262" s="142">
        <v>0</v>
      </c>
      <c r="AI262" s="142">
        <v>0</v>
      </c>
      <c r="AJ262" s="142">
        <v>0</v>
      </c>
      <c r="AK262" s="142">
        <v>0</v>
      </c>
      <c r="AL262" s="142">
        <v>0</v>
      </c>
      <c r="AM262" s="142">
        <v>0</v>
      </c>
      <c r="AN262" s="142">
        <v>0</v>
      </c>
      <c r="AO262" s="142">
        <v>0</v>
      </c>
      <c r="AP262" s="142">
        <v>0</v>
      </c>
      <c r="AQ262" s="142">
        <v>0</v>
      </c>
      <c r="AR262" s="142">
        <v>0</v>
      </c>
      <c r="AS262" s="142">
        <v>0</v>
      </c>
      <c r="AT262" s="142">
        <v>0</v>
      </c>
      <c r="AU262" s="142">
        <v>0</v>
      </c>
      <c r="AV262" s="142">
        <v>0</v>
      </c>
      <c r="AW262" s="142">
        <v>0</v>
      </c>
    </row>
    <row r="263" spans="18:49" x14ac:dyDescent="0.25">
      <c r="R263" s="141">
        <f t="shared" si="5"/>
        <v>2902.7069884665561</v>
      </c>
      <c r="S263" s="142">
        <v>0</v>
      </c>
      <c r="T263" s="142">
        <v>0</v>
      </c>
      <c r="U263" s="142">
        <v>0</v>
      </c>
      <c r="V263" s="142">
        <v>0</v>
      </c>
      <c r="W263" s="142">
        <v>0</v>
      </c>
      <c r="X263" s="142">
        <v>0</v>
      </c>
      <c r="Y263" s="142">
        <v>0</v>
      </c>
      <c r="Z263" s="142">
        <v>0</v>
      </c>
      <c r="AA263" s="142">
        <v>0</v>
      </c>
      <c r="AB263" s="142">
        <v>0</v>
      </c>
      <c r="AC263" s="142">
        <v>0</v>
      </c>
      <c r="AD263" s="142">
        <v>0</v>
      </c>
      <c r="AE263" s="142">
        <v>0</v>
      </c>
      <c r="AF263" s="142">
        <v>0</v>
      </c>
      <c r="AG263" s="142">
        <v>0</v>
      </c>
      <c r="AH263" s="142">
        <v>0</v>
      </c>
      <c r="AI263" s="142">
        <v>0</v>
      </c>
      <c r="AJ263" s="142">
        <v>0</v>
      </c>
      <c r="AK263" s="142">
        <v>0</v>
      </c>
      <c r="AL263" s="142">
        <v>0</v>
      </c>
      <c r="AM263" s="142">
        <v>0</v>
      </c>
      <c r="AN263" s="142">
        <v>0</v>
      </c>
      <c r="AO263" s="142">
        <v>0</v>
      </c>
      <c r="AP263" s="142">
        <v>0</v>
      </c>
      <c r="AQ263" s="142">
        <v>0</v>
      </c>
      <c r="AR263" s="142">
        <v>0</v>
      </c>
      <c r="AS263" s="142">
        <v>0</v>
      </c>
      <c r="AT263" s="142">
        <v>0</v>
      </c>
      <c r="AU263" s="142">
        <v>0</v>
      </c>
      <c r="AV263" s="142">
        <v>0</v>
      </c>
      <c r="AW263" s="142">
        <v>0</v>
      </c>
    </row>
    <row r="264" spans="18:49" x14ac:dyDescent="0.25">
      <c r="R264" s="141">
        <f t="shared" si="5"/>
        <v>2959.622811769822</v>
      </c>
      <c r="S264" s="142">
        <v>0</v>
      </c>
      <c r="T264" s="142">
        <v>0</v>
      </c>
      <c r="U264" s="142">
        <v>0</v>
      </c>
      <c r="V264" s="142">
        <v>0</v>
      </c>
      <c r="W264" s="142">
        <v>0</v>
      </c>
      <c r="X264" s="142">
        <v>0</v>
      </c>
      <c r="Y264" s="142">
        <v>0</v>
      </c>
      <c r="Z264" s="142">
        <v>0</v>
      </c>
      <c r="AA264" s="142">
        <v>0</v>
      </c>
      <c r="AB264" s="142">
        <v>0</v>
      </c>
      <c r="AC264" s="142">
        <v>0</v>
      </c>
      <c r="AD264" s="142">
        <v>0</v>
      </c>
      <c r="AE264" s="142">
        <v>0</v>
      </c>
      <c r="AF264" s="142">
        <v>0</v>
      </c>
      <c r="AG264" s="142">
        <v>0</v>
      </c>
      <c r="AH264" s="142">
        <v>0</v>
      </c>
      <c r="AI264" s="142">
        <v>0</v>
      </c>
      <c r="AJ264" s="142">
        <v>0</v>
      </c>
      <c r="AK264" s="142">
        <v>0</v>
      </c>
      <c r="AL264" s="142">
        <v>0</v>
      </c>
      <c r="AM264" s="142">
        <v>0</v>
      </c>
      <c r="AN264" s="142">
        <v>0</v>
      </c>
      <c r="AO264" s="142">
        <v>0</v>
      </c>
      <c r="AP264" s="142">
        <v>0</v>
      </c>
      <c r="AQ264" s="142">
        <v>0</v>
      </c>
      <c r="AR264" s="142">
        <v>0</v>
      </c>
      <c r="AS264" s="142">
        <v>0</v>
      </c>
      <c r="AT264" s="142">
        <v>0</v>
      </c>
      <c r="AU264" s="142">
        <v>0</v>
      </c>
      <c r="AV264" s="142">
        <v>0</v>
      </c>
      <c r="AW264" s="142">
        <v>0</v>
      </c>
    </row>
    <row r="265" spans="18:49" x14ac:dyDescent="0.25">
      <c r="R265" s="141">
        <f t="shared" si="5"/>
        <v>3016.5386350730882</v>
      </c>
      <c r="S265" s="142">
        <v>0</v>
      </c>
      <c r="T265" s="142">
        <v>0</v>
      </c>
      <c r="U265" s="142">
        <v>0</v>
      </c>
      <c r="V265" s="142">
        <v>0</v>
      </c>
      <c r="W265" s="142">
        <v>0</v>
      </c>
      <c r="X265" s="142">
        <v>0</v>
      </c>
      <c r="Y265" s="142">
        <v>0</v>
      </c>
      <c r="Z265" s="142">
        <v>0</v>
      </c>
      <c r="AA265" s="142">
        <v>0</v>
      </c>
      <c r="AB265" s="142">
        <v>0</v>
      </c>
      <c r="AC265" s="142">
        <v>0</v>
      </c>
      <c r="AD265" s="142">
        <v>0</v>
      </c>
      <c r="AE265" s="142">
        <v>0</v>
      </c>
      <c r="AF265" s="142">
        <v>0</v>
      </c>
      <c r="AG265" s="142">
        <v>0</v>
      </c>
      <c r="AH265" s="142">
        <v>0</v>
      </c>
      <c r="AI265" s="142">
        <v>0</v>
      </c>
      <c r="AJ265" s="142">
        <v>0</v>
      </c>
      <c r="AK265" s="142">
        <v>0</v>
      </c>
      <c r="AL265" s="142">
        <v>0</v>
      </c>
      <c r="AM265" s="142">
        <v>0</v>
      </c>
      <c r="AN265" s="142">
        <v>0</v>
      </c>
      <c r="AO265" s="142">
        <v>0</v>
      </c>
      <c r="AP265" s="142">
        <v>0</v>
      </c>
      <c r="AQ265" s="142">
        <v>0</v>
      </c>
      <c r="AR265" s="142">
        <v>0</v>
      </c>
      <c r="AS265" s="142">
        <v>0</v>
      </c>
      <c r="AT265" s="142">
        <v>0</v>
      </c>
      <c r="AU265" s="142">
        <v>0</v>
      </c>
      <c r="AV265" s="142">
        <v>0</v>
      </c>
      <c r="AW265" s="142">
        <v>0</v>
      </c>
    </row>
    <row r="266" spans="18:49" x14ac:dyDescent="0.25">
      <c r="R266" s="141">
        <f t="shared" si="5"/>
        <v>3073.4544583763536</v>
      </c>
      <c r="S266" s="142">
        <v>0</v>
      </c>
      <c r="T266" s="142">
        <v>0</v>
      </c>
      <c r="U266" s="142">
        <v>0</v>
      </c>
      <c r="V266" s="142">
        <v>0</v>
      </c>
      <c r="W266" s="142">
        <v>0</v>
      </c>
      <c r="X266" s="142">
        <v>0</v>
      </c>
      <c r="Y266" s="142">
        <v>0</v>
      </c>
      <c r="Z266" s="142">
        <v>0</v>
      </c>
      <c r="AA266" s="142">
        <v>0</v>
      </c>
      <c r="AB266" s="142">
        <v>0</v>
      </c>
      <c r="AC266" s="142">
        <v>0</v>
      </c>
      <c r="AD266" s="142">
        <v>0</v>
      </c>
      <c r="AE266" s="142">
        <v>0</v>
      </c>
      <c r="AF266" s="142">
        <v>0</v>
      </c>
      <c r="AG266" s="142">
        <v>0</v>
      </c>
      <c r="AH266" s="142">
        <v>0</v>
      </c>
      <c r="AI266" s="142">
        <v>0</v>
      </c>
      <c r="AJ266" s="142">
        <v>0</v>
      </c>
      <c r="AK266" s="142">
        <v>0</v>
      </c>
      <c r="AL266" s="142">
        <v>0</v>
      </c>
      <c r="AM266" s="142">
        <v>0</v>
      </c>
      <c r="AN266" s="142">
        <v>0</v>
      </c>
      <c r="AO266" s="142">
        <v>0</v>
      </c>
      <c r="AP266" s="142">
        <v>0</v>
      </c>
      <c r="AQ266" s="142">
        <v>0</v>
      </c>
      <c r="AR266" s="142">
        <v>0</v>
      </c>
      <c r="AS266" s="142">
        <v>0</v>
      </c>
      <c r="AT266" s="142">
        <v>0</v>
      </c>
      <c r="AU266" s="142">
        <v>0</v>
      </c>
      <c r="AV266" s="142">
        <v>0</v>
      </c>
      <c r="AW266" s="142">
        <v>0</v>
      </c>
    </row>
    <row r="267" spans="18:49" x14ac:dyDescent="0.25">
      <c r="R267" s="141">
        <f t="shared" si="5"/>
        <v>3130.370281679619</v>
      </c>
      <c r="S267" s="142">
        <v>0</v>
      </c>
      <c r="T267" s="142">
        <v>0</v>
      </c>
      <c r="U267" s="142">
        <v>0</v>
      </c>
      <c r="V267" s="142">
        <v>0</v>
      </c>
      <c r="W267" s="142">
        <v>0</v>
      </c>
      <c r="X267" s="142">
        <v>0</v>
      </c>
      <c r="Y267" s="142">
        <v>0</v>
      </c>
      <c r="Z267" s="142">
        <v>0</v>
      </c>
      <c r="AA267" s="142">
        <v>0</v>
      </c>
      <c r="AB267" s="142">
        <v>0</v>
      </c>
      <c r="AC267" s="142">
        <v>0</v>
      </c>
      <c r="AD267" s="142">
        <v>0</v>
      </c>
      <c r="AE267" s="142">
        <v>0</v>
      </c>
      <c r="AF267" s="142">
        <v>0</v>
      </c>
      <c r="AG267" s="142">
        <v>0</v>
      </c>
      <c r="AH267" s="142">
        <v>0</v>
      </c>
      <c r="AI267" s="142">
        <v>0</v>
      </c>
      <c r="AJ267" s="142">
        <v>0</v>
      </c>
      <c r="AK267" s="142">
        <v>0</v>
      </c>
      <c r="AL267" s="142">
        <v>0</v>
      </c>
      <c r="AM267" s="142">
        <v>0</v>
      </c>
      <c r="AN267" s="142">
        <v>0</v>
      </c>
      <c r="AO267" s="142">
        <v>0</v>
      </c>
      <c r="AP267" s="142">
        <v>0</v>
      </c>
      <c r="AQ267" s="142">
        <v>0</v>
      </c>
      <c r="AR267" s="142">
        <v>0</v>
      </c>
      <c r="AS267" s="142">
        <v>0</v>
      </c>
      <c r="AT267" s="142">
        <v>0</v>
      </c>
      <c r="AU267" s="142">
        <v>0</v>
      </c>
      <c r="AV267" s="142">
        <v>0</v>
      </c>
      <c r="AW267" s="142">
        <v>0</v>
      </c>
    </row>
    <row r="268" spans="18:49" x14ac:dyDescent="0.25">
      <c r="R268" s="141">
        <f t="shared" si="5"/>
        <v>3187.2861049828853</v>
      </c>
      <c r="S268" s="142">
        <v>0</v>
      </c>
      <c r="T268" s="142">
        <v>0</v>
      </c>
      <c r="U268" s="142">
        <v>0</v>
      </c>
      <c r="V268" s="142">
        <v>0</v>
      </c>
      <c r="W268" s="142">
        <v>0</v>
      </c>
      <c r="X268" s="142">
        <v>0</v>
      </c>
      <c r="Y268" s="142">
        <v>0</v>
      </c>
      <c r="Z268" s="142">
        <v>0</v>
      </c>
      <c r="AA268" s="142">
        <v>0</v>
      </c>
      <c r="AB268" s="142">
        <v>0</v>
      </c>
      <c r="AC268" s="142">
        <v>0</v>
      </c>
      <c r="AD268" s="142">
        <v>0</v>
      </c>
      <c r="AE268" s="142">
        <v>0</v>
      </c>
      <c r="AF268" s="142">
        <v>0</v>
      </c>
      <c r="AG268" s="142">
        <v>0</v>
      </c>
      <c r="AH268" s="142">
        <v>0</v>
      </c>
      <c r="AI268" s="142">
        <v>0</v>
      </c>
      <c r="AJ268" s="142">
        <v>0</v>
      </c>
      <c r="AK268" s="142">
        <v>0</v>
      </c>
      <c r="AL268" s="142">
        <v>0</v>
      </c>
      <c r="AM268" s="142">
        <v>0</v>
      </c>
      <c r="AN268" s="142">
        <v>0</v>
      </c>
      <c r="AO268" s="142">
        <v>0</v>
      </c>
      <c r="AP268" s="142">
        <v>0</v>
      </c>
      <c r="AQ268" s="142">
        <v>0</v>
      </c>
      <c r="AR268" s="142">
        <v>0</v>
      </c>
      <c r="AS268" s="142">
        <v>0</v>
      </c>
      <c r="AT268" s="142">
        <v>0</v>
      </c>
      <c r="AU268" s="142">
        <v>0</v>
      </c>
      <c r="AV268" s="142">
        <v>0</v>
      </c>
      <c r="AW268" s="142">
        <v>0</v>
      </c>
    </row>
    <row r="269" spans="18:49" x14ac:dyDescent="0.25">
      <c r="R269" s="141">
        <f t="shared" si="5"/>
        <v>3244.2019282861506</v>
      </c>
      <c r="S269" s="142">
        <v>0</v>
      </c>
      <c r="T269" s="142">
        <v>0</v>
      </c>
      <c r="U269" s="142">
        <v>0</v>
      </c>
      <c r="V269" s="142">
        <v>0</v>
      </c>
      <c r="W269" s="142">
        <v>0</v>
      </c>
      <c r="X269" s="142">
        <v>0</v>
      </c>
      <c r="Y269" s="142">
        <v>0</v>
      </c>
      <c r="Z269" s="142">
        <v>0</v>
      </c>
      <c r="AA269" s="142">
        <v>0</v>
      </c>
      <c r="AB269" s="142">
        <v>0</v>
      </c>
      <c r="AC269" s="142">
        <v>0</v>
      </c>
      <c r="AD269" s="142">
        <v>0</v>
      </c>
      <c r="AE269" s="142">
        <v>0</v>
      </c>
      <c r="AF269" s="142">
        <v>0</v>
      </c>
      <c r="AG269" s="142">
        <v>0</v>
      </c>
      <c r="AH269" s="142">
        <v>0</v>
      </c>
      <c r="AI269" s="142">
        <v>0</v>
      </c>
      <c r="AJ269" s="142">
        <v>0</v>
      </c>
      <c r="AK269" s="142">
        <v>0</v>
      </c>
      <c r="AL269" s="142">
        <v>0</v>
      </c>
      <c r="AM269" s="142">
        <v>0</v>
      </c>
      <c r="AN269" s="142">
        <v>0</v>
      </c>
      <c r="AO269" s="142">
        <v>0</v>
      </c>
      <c r="AP269" s="142">
        <v>0</v>
      </c>
      <c r="AQ269" s="142">
        <v>0</v>
      </c>
      <c r="AR269" s="142">
        <v>0</v>
      </c>
      <c r="AS269" s="142">
        <v>0</v>
      </c>
      <c r="AT269" s="142">
        <v>0</v>
      </c>
      <c r="AU269" s="142">
        <v>0</v>
      </c>
      <c r="AV269" s="142">
        <v>0</v>
      </c>
      <c r="AW269" s="142">
        <v>0</v>
      </c>
    </row>
    <row r="270" spans="18:49" x14ac:dyDescent="0.25">
      <c r="R270" s="141">
        <f t="shared" si="5"/>
        <v>3301.1177515894169</v>
      </c>
      <c r="S270" s="142">
        <v>0</v>
      </c>
      <c r="T270" s="142">
        <v>0</v>
      </c>
      <c r="U270" s="142">
        <v>0</v>
      </c>
      <c r="V270" s="142">
        <v>0</v>
      </c>
      <c r="W270" s="142">
        <v>0</v>
      </c>
      <c r="X270" s="142">
        <v>0</v>
      </c>
      <c r="Y270" s="142">
        <v>0</v>
      </c>
      <c r="Z270" s="142">
        <v>0</v>
      </c>
      <c r="AA270" s="142">
        <v>0</v>
      </c>
      <c r="AB270" s="142">
        <v>0</v>
      </c>
      <c r="AC270" s="142">
        <v>0</v>
      </c>
      <c r="AD270" s="142">
        <v>0</v>
      </c>
      <c r="AE270" s="142">
        <v>0</v>
      </c>
      <c r="AF270" s="142">
        <v>0</v>
      </c>
      <c r="AG270" s="142">
        <v>0</v>
      </c>
      <c r="AH270" s="142">
        <v>0</v>
      </c>
      <c r="AI270" s="142">
        <v>0</v>
      </c>
      <c r="AJ270" s="142">
        <v>0</v>
      </c>
      <c r="AK270" s="142">
        <v>0</v>
      </c>
      <c r="AL270" s="142">
        <v>0</v>
      </c>
      <c r="AM270" s="142">
        <v>0</v>
      </c>
      <c r="AN270" s="142">
        <v>0</v>
      </c>
      <c r="AO270" s="142">
        <v>0</v>
      </c>
      <c r="AP270" s="142">
        <v>0</v>
      </c>
      <c r="AQ270" s="142">
        <v>0</v>
      </c>
      <c r="AR270" s="142">
        <v>0</v>
      </c>
      <c r="AS270" s="142">
        <v>0</v>
      </c>
      <c r="AT270" s="142">
        <v>0</v>
      </c>
      <c r="AU270" s="142">
        <v>0</v>
      </c>
      <c r="AV270" s="142">
        <v>0</v>
      </c>
      <c r="AW270" s="142">
        <v>0</v>
      </c>
    </row>
    <row r="271" spans="18:49" x14ac:dyDescent="0.25">
      <c r="R271" s="141">
        <f t="shared" si="5"/>
        <v>3358.0335748926823</v>
      </c>
      <c r="S271" s="142">
        <v>0</v>
      </c>
      <c r="T271" s="142">
        <v>0</v>
      </c>
      <c r="U271" s="142">
        <v>0</v>
      </c>
      <c r="V271" s="142">
        <v>0</v>
      </c>
      <c r="W271" s="142">
        <v>0</v>
      </c>
      <c r="X271" s="142">
        <v>0</v>
      </c>
      <c r="Y271" s="142">
        <v>0</v>
      </c>
      <c r="Z271" s="142">
        <v>0</v>
      </c>
      <c r="AA271" s="142">
        <v>0</v>
      </c>
      <c r="AB271" s="142">
        <v>0</v>
      </c>
      <c r="AC271" s="142">
        <v>0</v>
      </c>
      <c r="AD271" s="142">
        <v>0</v>
      </c>
      <c r="AE271" s="142">
        <v>0</v>
      </c>
      <c r="AF271" s="142">
        <v>0</v>
      </c>
      <c r="AG271" s="142">
        <v>0</v>
      </c>
      <c r="AH271" s="142">
        <v>0</v>
      </c>
      <c r="AI271" s="142">
        <v>0</v>
      </c>
      <c r="AJ271" s="142">
        <v>0</v>
      </c>
      <c r="AK271" s="142">
        <v>0</v>
      </c>
      <c r="AL271" s="142">
        <v>0</v>
      </c>
      <c r="AM271" s="142">
        <v>0</v>
      </c>
      <c r="AN271" s="142">
        <v>0</v>
      </c>
      <c r="AO271" s="142">
        <v>0</v>
      </c>
      <c r="AP271" s="142">
        <v>0</v>
      </c>
      <c r="AQ271" s="142">
        <v>0</v>
      </c>
      <c r="AR271" s="142">
        <v>0</v>
      </c>
      <c r="AS271" s="142">
        <v>0</v>
      </c>
      <c r="AT271" s="142">
        <v>0</v>
      </c>
      <c r="AU271" s="142">
        <v>0</v>
      </c>
      <c r="AV271" s="142">
        <v>0</v>
      </c>
      <c r="AW271" s="142">
        <v>0</v>
      </c>
    </row>
    <row r="272" spans="18:49" x14ac:dyDescent="0.25">
      <c r="R272" s="141">
        <f t="shared" si="5"/>
        <v>3500</v>
      </c>
      <c r="S272" s="142">
        <v>0</v>
      </c>
      <c r="T272" s="142">
        <v>0</v>
      </c>
      <c r="U272" s="142">
        <v>0</v>
      </c>
      <c r="V272" s="142">
        <v>0</v>
      </c>
      <c r="W272" s="142">
        <v>0</v>
      </c>
      <c r="X272" s="142">
        <v>0</v>
      </c>
      <c r="Y272" s="142">
        <v>0</v>
      </c>
      <c r="Z272" s="142">
        <v>0</v>
      </c>
      <c r="AA272" s="142">
        <v>0</v>
      </c>
      <c r="AB272" s="142">
        <v>0</v>
      </c>
      <c r="AC272" s="142">
        <v>0</v>
      </c>
      <c r="AD272" s="142">
        <v>0</v>
      </c>
      <c r="AE272" s="142">
        <v>0</v>
      </c>
      <c r="AF272" s="142">
        <v>0</v>
      </c>
      <c r="AG272" s="142">
        <v>0</v>
      </c>
      <c r="AH272" s="142">
        <v>0</v>
      </c>
      <c r="AI272" s="142">
        <v>0</v>
      </c>
      <c r="AJ272" s="142">
        <v>0</v>
      </c>
      <c r="AK272" s="142">
        <v>0</v>
      </c>
      <c r="AL272" s="142">
        <v>0</v>
      </c>
      <c r="AM272" s="142">
        <v>0</v>
      </c>
      <c r="AN272" s="142">
        <v>0</v>
      </c>
      <c r="AO272" s="142">
        <v>0</v>
      </c>
      <c r="AP272" s="142">
        <v>0</v>
      </c>
      <c r="AQ272" s="142">
        <v>0</v>
      </c>
      <c r="AR272" s="142">
        <v>0</v>
      </c>
      <c r="AS272" s="142">
        <v>0</v>
      </c>
      <c r="AT272" s="142">
        <v>0</v>
      </c>
      <c r="AU272" s="142">
        <v>0</v>
      </c>
      <c r="AV272" s="142">
        <v>0</v>
      </c>
      <c r="AW272" s="142">
        <v>0</v>
      </c>
    </row>
  </sheetData>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C15"/>
  <sheetViews>
    <sheetView topLeftCell="A7" workbookViewId="0">
      <selection activeCell="C8" sqref="C8"/>
    </sheetView>
  </sheetViews>
  <sheetFormatPr defaultRowHeight="13.2" x14ac:dyDescent="0.25"/>
  <cols>
    <col min="3" max="3" width="62.5546875" customWidth="1"/>
  </cols>
  <sheetData>
    <row r="1" spans="2:3" ht="63" customHeight="1" x14ac:dyDescent="0.25">
      <c r="C1" s="12" t="s">
        <v>15</v>
      </c>
    </row>
    <row r="3" spans="2:3" ht="92.4" x14ac:dyDescent="0.25">
      <c r="C3" s="12" t="s">
        <v>16</v>
      </c>
    </row>
    <row r="5" spans="2:3" ht="13.8" thickBot="1" x14ac:dyDescent="0.3"/>
    <row r="6" spans="2:3" x14ac:dyDescent="0.25">
      <c r="B6" s="7" t="s">
        <v>14</v>
      </c>
      <c r="C6" s="1"/>
    </row>
    <row r="7" spans="2:3" ht="52.8" x14ac:dyDescent="0.25">
      <c r="B7" s="2">
        <v>1</v>
      </c>
      <c r="C7" s="4" t="s">
        <v>319</v>
      </c>
    </row>
    <row r="8" spans="2:3" ht="26.4" x14ac:dyDescent="0.25">
      <c r="B8" s="2">
        <v>2</v>
      </c>
      <c r="C8" s="4" t="s">
        <v>0</v>
      </c>
    </row>
    <row r="9" spans="2:3" ht="26.4" x14ac:dyDescent="0.25">
      <c r="B9" s="2">
        <v>3</v>
      </c>
      <c r="C9" s="4" t="s">
        <v>1</v>
      </c>
    </row>
    <row r="10" spans="2:3" x14ac:dyDescent="0.25">
      <c r="B10" s="2">
        <v>4</v>
      </c>
      <c r="C10" s="4" t="s">
        <v>2</v>
      </c>
    </row>
    <row r="11" spans="2:3" x14ac:dyDescent="0.25">
      <c r="B11" s="2">
        <v>5</v>
      </c>
      <c r="C11" s="4" t="s">
        <v>3</v>
      </c>
    </row>
    <row r="12" spans="2:3" x14ac:dyDescent="0.25">
      <c r="B12" s="2">
        <v>6</v>
      </c>
      <c r="C12" s="4" t="s">
        <v>4</v>
      </c>
    </row>
    <row r="13" spans="2:3" ht="26.4" x14ac:dyDescent="0.25">
      <c r="B13" s="2">
        <v>7</v>
      </c>
      <c r="C13" s="4" t="s">
        <v>5</v>
      </c>
    </row>
    <row r="14" spans="2:3" x14ac:dyDescent="0.25">
      <c r="B14" s="5">
        <v>8</v>
      </c>
      <c r="C14" s="4" t="s">
        <v>318</v>
      </c>
    </row>
    <row r="15" spans="2:3" ht="13.8" thickBot="1" x14ac:dyDescent="0.3">
      <c r="B15" s="3">
        <v>9</v>
      </c>
      <c r="C15" s="6" t="s">
        <v>6</v>
      </c>
    </row>
  </sheetData>
  <phoneticPr fontId="0"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Document" shapeId="2049" r:id="rId4">
          <objectPr defaultSize="0" r:id="rId5">
            <anchor moveWithCells="1">
              <from>
                <xdr:col>1</xdr:col>
                <xdr:colOff>220980</xdr:colOff>
                <xdr:row>17</xdr:row>
                <xdr:rowOff>152400</xdr:rowOff>
              </from>
              <to>
                <xdr:col>4</xdr:col>
                <xdr:colOff>350520</xdr:colOff>
                <xdr:row>91</xdr:row>
                <xdr:rowOff>7620</xdr:rowOff>
              </to>
            </anchor>
          </objectPr>
        </oleObject>
      </mc:Choice>
      <mc:Fallback>
        <oleObject progId="Document" shapeId="2049"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9"/>
  <sheetViews>
    <sheetView workbookViewId="0">
      <selection activeCell="C23" sqref="C23"/>
    </sheetView>
  </sheetViews>
  <sheetFormatPr defaultRowHeight="13.2" x14ac:dyDescent="0.25"/>
  <cols>
    <col min="3" max="3" width="62.88671875" style="8" customWidth="1"/>
  </cols>
  <sheetData>
    <row r="2" spans="2:3" ht="13.8" thickBot="1" x14ac:dyDescent="0.3"/>
    <row r="3" spans="2:3" x14ac:dyDescent="0.25">
      <c r="B3" s="7" t="s">
        <v>13</v>
      </c>
      <c r="C3" s="9"/>
    </row>
    <row r="4" spans="2:3" ht="26.4" x14ac:dyDescent="0.25">
      <c r="B4" s="2">
        <v>1</v>
      </c>
      <c r="C4" s="4" t="s">
        <v>7</v>
      </c>
    </row>
    <row r="5" spans="2:3" ht="52.8" x14ac:dyDescent="0.25">
      <c r="B5" s="2">
        <v>2</v>
      </c>
      <c r="C5" s="4" t="s">
        <v>8</v>
      </c>
    </row>
    <row r="6" spans="2:3" x14ac:dyDescent="0.25">
      <c r="B6" s="2">
        <v>3</v>
      </c>
      <c r="C6" s="4" t="s">
        <v>9</v>
      </c>
    </row>
    <row r="7" spans="2:3" x14ac:dyDescent="0.25">
      <c r="B7" s="2">
        <v>4</v>
      </c>
      <c r="C7" s="4" t="s">
        <v>10</v>
      </c>
    </row>
    <row r="8" spans="2:3" x14ac:dyDescent="0.25">
      <c r="B8" s="2">
        <v>5</v>
      </c>
      <c r="C8" s="4" t="s">
        <v>11</v>
      </c>
    </row>
    <row r="9" spans="2:3" ht="13.8" thickBot="1" x14ac:dyDescent="0.3">
      <c r="B9" s="10">
        <v>6</v>
      </c>
      <c r="C9" s="11" t="s">
        <v>12</v>
      </c>
    </row>
  </sheetData>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MotorSpecs1</vt:lpstr>
      <vt:lpstr>MotorData1</vt:lpstr>
      <vt:lpstr>DriveData1</vt:lpstr>
      <vt:lpstr>TSData1</vt:lpstr>
      <vt:lpstr>EffMap1</vt:lpstr>
      <vt:lpstr>Motor Footnotes</vt:lpstr>
      <vt:lpstr>Gearbox Footnotes</vt:lpstr>
      <vt:lpstr>MotorSpecs1!Print_Area</vt:lpstr>
    </vt:vector>
  </TitlesOfParts>
  <Company>Electromechanical Automation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s_huard</dc:creator>
  <cp:lastModifiedBy>M  Kevin Holloway</cp:lastModifiedBy>
  <cp:lastPrinted>2005-01-25T22:18:42Z</cp:lastPrinted>
  <dcterms:created xsi:type="dcterms:W3CDTF">2004-07-23T00:21:46Z</dcterms:created>
  <dcterms:modified xsi:type="dcterms:W3CDTF">2016-10-25T00:19:22Z</dcterms:modified>
</cp:coreProperties>
</file>
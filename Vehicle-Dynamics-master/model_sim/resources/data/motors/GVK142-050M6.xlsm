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doc" ContentType="application/msword"/>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6828" codeName="{1563B04E-AB91-75FE-B8BC-B18F01832D57}"/>
  <workbookPr codeName="ThisWorkbook"/>
  <mc:AlternateContent xmlns:mc="http://schemas.openxmlformats.org/markup-compatibility/2006">
    <mc:Choice Requires="x15">
      <x15ac:absPath xmlns:x15ac="http://schemas.microsoft.com/office/spreadsheetml/2010/11/ac" url="C:\Users\kh17384\Documents\Customers\EV\University of Penn\"/>
    </mc:Choice>
  </mc:AlternateContent>
  <bookViews>
    <workbookView xWindow="-12" yWindow="-12" windowWidth="15336" windowHeight="8928" tabRatio="755"/>
  </bookViews>
  <sheets>
    <sheet name="MotorSpecs1" sheetId="7" r:id="rId1"/>
    <sheet name="MotorData1" sheetId="8" state="hidden" r:id="rId2"/>
    <sheet name="DriveData1" sheetId="9" state="hidden" r:id="rId3"/>
    <sheet name="TSData1" sheetId="10" state="hidden" r:id="rId4"/>
    <sheet name="EffMap1" sheetId="11" state="hidden" r:id="rId5"/>
    <sheet name="Motor Footnotes" sheetId="5" r:id="rId6"/>
    <sheet name="Gearbox Footnotes" sheetId="6" r:id="rId7"/>
  </sheets>
  <definedNames>
    <definedName name="_xlnm.Print_Area" localSheetId="0">MotorSpecs1!$B$2:$F$51</definedName>
  </definedNames>
  <calcPr calcId="171027"/>
</workbook>
</file>

<file path=xl/calcChain.xml><?xml version="1.0" encoding="utf-8"?>
<calcChain xmlns="http://schemas.openxmlformats.org/spreadsheetml/2006/main">
  <c r="R213" i="11" l="1"/>
  <c r="R214" i="11"/>
  <c r="R215" i="11"/>
  <c r="R216" i="11"/>
  <c r="R217" i="11"/>
  <c r="R218" i="11"/>
  <c r="R219" i="11"/>
  <c r="R220" i="11"/>
  <c r="R221" i="11"/>
  <c r="R222" i="11"/>
  <c r="R223" i="11"/>
  <c r="R224" i="11"/>
  <c r="R225" i="11"/>
  <c r="R226" i="11"/>
  <c r="R227" i="11"/>
  <c r="R228" i="11"/>
  <c r="R229" i="11"/>
  <c r="R230" i="11"/>
  <c r="R231" i="11"/>
  <c r="R232" i="11"/>
  <c r="R233" i="11"/>
  <c r="R234" i="11"/>
  <c r="R235" i="11"/>
  <c r="R236" i="11"/>
  <c r="R237" i="11"/>
  <c r="R238" i="11"/>
  <c r="R239" i="11"/>
  <c r="R240" i="11"/>
  <c r="R241" i="11"/>
  <c r="R242" i="11"/>
  <c r="R243" i="11"/>
  <c r="R244" i="11"/>
  <c r="R245" i="11"/>
  <c r="R246" i="11"/>
  <c r="R247" i="11"/>
  <c r="R248" i="11"/>
  <c r="R249" i="11"/>
  <c r="R250" i="11"/>
  <c r="R251" i="11"/>
  <c r="R252" i="11"/>
  <c r="R253" i="11"/>
  <c r="R254" i="11"/>
  <c r="R255" i="11"/>
  <c r="R256" i="11"/>
  <c r="R257" i="11"/>
  <c r="R258" i="11"/>
  <c r="R259" i="11"/>
  <c r="R260" i="11"/>
  <c r="R261" i="11"/>
  <c r="R262" i="11"/>
  <c r="R263" i="11"/>
  <c r="R264" i="11"/>
  <c r="R265" i="11"/>
  <c r="R266" i="11"/>
  <c r="R267" i="11"/>
  <c r="R268" i="11"/>
  <c r="R269" i="11"/>
  <c r="R270" i="11"/>
  <c r="R271" i="11"/>
  <c r="R272" i="11"/>
  <c r="R212" i="11"/>
  <c r="R132" i="11" l="1"/>
  <c r="R202" i="11"/>
  <c r="F48" i="7" l="1"/>
  <c r="T140" i="11"/>
  <c r="U140" i="11"/>
  <c r="V140" i="11"/>
  <c r="W140" i="11"/>
  <c r="X140" i="11"/>
  <c r="Y140" i="11"/>
  <c r="Z140" i="11"/>
  <c r="AA140" i="11"/>
  <c r="AB140" i="11"/>
  <c r="AC140" i="11"/>
  <c r="AD140" i="11"/>
  <c r="AE140" i="11"/>
  <c r="AF140" i="11"/>
  <c r="AG140" i="11"/>
  <c r="AH140" i="11"/>
  <c r="AI140" i="11"/>
  <c r="AJ140" i="11"/>
  <c r="AK140" i="11"/>
  <c r="AL140" i="11"/>
  <c r="AM140" i="11"/>
  <c r="AN140" i="11"/>
  <c r="AO140" i="11"/>
  <c r="AP140" i="11"/>
  <c r="AQ140" i="11"/>
  <c r="AR140" i="11"/>
  <c r="AS140" i="11"/>
  <c r="AT140" i="11"/>
  <c r="AU140" i="11"/>
  <c r="AV140" i="11"/>
  <c r="AW140" i="11"/>
  <c r="R143" i="11"/>
  <c r="R144" i="11"/>
  <c r="R145" i="11"/>
  <c r="R146" i="11"/>
  <c r="R147" i="11"/>
  <c r="R148" i="11"/>
  <c r="R149" i="11"/>
  <c r="R150" i="11"/>
  <c r="R151" i="11"/>
  <c r="R152" i="11"/>
  <c r="R153" i="11"/>
  <c r="R154" i="11"/>
  <c r="R155" i="11"/>
  <c r="R156" i="11"/>
  <c r="R157" i="11"/>
  <c r="R158" i="11"/>
  <c r="R159" i="11"/>
  <c r="R160" i="11"/>
  <c r="R161" i="11"/>
  <c r="R162" i="11"/>
  <c r="R163" i="11"/>
  <c r="R164" i="11"/>
  <c r="R165" i="11"/>
  <c r="R166" i="11"/>
  <c r="R167" i="11"/>
  <c r="R168" i="11"/>
  <c r="R169" i="11"/>
  <c r="R170" i="11"/>
  <c r="R171" i="11"/>
  <c r="R172" i="11"/>
  <c r="R173" i="11"/>
  <c r="R174" i="11"/>
  <c r="R175" i="11"/>
  <c r="R176" i="11"/>
  <c r="R177" i="11"/>
  <c r="R178" i="11"/>
  <c r="R179" i="11"/>
  <c r="R180" i="11"/>
  <c r="R181" i="11"/>
  <c r="R182" i="11"/>
  <c r="R183" i="11"/>
  <c r="R184" i="11"/>
  <c r="R185" i="11"/>
  <c r="R186" i="11"/>
  <c r="R187" i="11"/>
  <c r="R188" i="11"/>
  <c r="R189" i="11"/>
  <c r="R190" i="11"/>
  <c r="R191" i="11"/>
  <c r="R192" i="11"/>
  <c r="R193" i="11"/>
  <c r="R194" i="11"/>
  <c r="R195" i="11"/>
  <c r="R196" i="11"/>
  <c r="R197" i="11"/>
  <c r="R198" i="11"/>
  <c r="R199" i="11"/>
  <c r="R200" i="11"/>
  <c r="R201" i="11"/>
  <c r="R142" i="11"/>
  <c r="S140" i="11"/>
  <c r="R73" i="11"/>
  <c r="R74" i="11"/>
  <c r="R75" i="11"/>
  <c r="R76" i="11"/>
  <c r="R77" i="11"/>
  <c r="R78" i="11"/>
  <c r="R79" i="11"/>
  <c r="R80" i="11"/>
  <c r="R81" i="11"/>
  <c r="R82" i="11"/>
  <c r="R83" i="11"/>
  <c r="R84" i="11"/>
  <c r="R85" i="11"/>
  <c r="R86" i="11"/>
  <c r="R87" i="11"/>
  <c r="R88" i="11"/>
  <c r="R89" i="11"/>
  <c r="R90" i="11"/>
  <c r="R91" i="11"/>
  <c r="R92" i="11"/>
  <c r="R93" i="11"/>
  <c r="R94" i="11"/>
  <c r="R95" i="11"/>
  <c r="R96" i="11"/>
  <c r="R97" i="11"/>
  <c r="R98" i="11"/>
  <c r="R99" i="11"/>
  <c r="R100" i="11"/>
  <c r="R101" i="11"/>
  <c r="R102" i="11"/>
  <c r="R103" i="11"/>
  <c r="R104" i="11"/>
  <c r="R105" i="11"/>
  <c r="R106" i="11"/>
  <c r="R107" i="11"/>
  <c r="R108" i="11"/>
  <c r="R109" i="11"/>
  <c r="R110" i="11"/>
  <c r="R111" i="11"/>
  <c r="R112" i="11"/>
  <c r="R113" i="11"/>
  <c r="R114" i="11"/>
  <c r="R115" i="11"/>
  <c r="R116" i="11"/>
  <c r="R117" i="11"/>
  <c r="R118" i="11"/>
  <c r="R119" i="11"/>
  <c r="R120" i="11"/>
  <c r="R121" i="11"/>
  <c r="R122" i="11"/>
  <c r="R123" i="11"/>
  <c r="R124" i="11"/>
  <c r="R125" i="11"/>
  <c r="R126" i="11"/>
  <c r="R127" i="11"/>
  <c r="R128" i="11"/>
  <c r="R129" i="11"/>
  <c r="R130" i="11"/>
  <c r="R131" i="11"/>
  <c r="R72" i="11"/>
  <c r="T70" i="11"/>
  <c r="T211" i="11" s="1"/>
  <c r="U70" i="11"/>
  <c r="U211" i="11" s="1"/>
  <c r="V70" i="11"/>
  <c r="V211" i="11" s="1"/>
  <c r="W70" i="11"/>
  <c r="W211" i="11" s="1"/>
  <c r="X70" i="11"/>
  <c r="X211" i="11" s="1"/>
  <c r="Y70" i="11"/>
  <c r="Y211" i="11" s="1"/>
  <c r="Z70" i="11"/>
  <c r="Z211" i="11" s="1"/>
  <c r="AA70" i="11"/>
  <c r="AA211" i="11" s="1"/>
  <c r="AB70" i="11"/>
  <c r="AB211" i="11" s="1"/>
  <c r="AC70" i="11"/>
  <c r="AC211" i="11" s="1"/>
  <c r="AD70" i="11"/>
  <c r="AD211" i="11" s="1"/>
  <c r="AE70" i="11"/>
  <c r="AE211" i="11" s="1"/>
  <c r="AF70" i="11"/>
  <c r="AF211" i="11" s="1"/>
  <c r="AG70" i="11"/>
  <c r="AG211" i="11" s="1"/>
  <c r="AH70" i="11"/>
  <c r="AH211" i="11" s="1"/>
  <c r="AI70" i="11"/>
  <c r="AI211" i="11" s="1"/>
  <c r="AJ70" i="11"/>
  <c r="AJ211" i="11" s="1"/>
  <c r="AK70" i="11"/>
  <c r="AK211" i="11" s="1"/>
  <c r="AL70" i="11"/>
  <c r="AL211" i="11" s="1"/>
  <c r="AM70" i="11"/>
  <c r="AM211" i="11" s="1"/>
  <c r="AN70" i="11"/>
  <c r="AN211" i="11" s="1"/>
  <c r="AO70" i="11"/>
  <c r="AO211" i="11" s="1"/>
  <c r="AP70" i="11"/>
  <c r="AP211" i="11" s="1"/>
  <c r="AQ70" i="11"/>
  <c r="AQ211" i="11" s="1"/>
  <c r="AR70" i="11"/>
  <c r="AR211" i="11" s="1"/>
  <c r="AS70" i="11"/>
  <c r="AS211" i="11" s="1"/>
  <c r="AT70" i="11"/>
  <c r="AT211" i="11" s="1"/>
  <c r="AU70" i="11"/>
  <c r="AU211" i="11" s="1"/>
  <c r="AV70" i="11"/>
  <c r="AV211" i="11" s="1"/>
  <c r="AW70" i="11"/>
  <c r="AW211" i="11" s="1"/>
  <c r="S70" i="11"/>
  <c r="S211" i="11" s="1"/>
  <c r="BF1" i="10" l="1"/>
  <c r="BJ1" i="10" s="1"/>
  <c r="BF2" i="10"/>
  <c r="H41" i="7" s="1"/>
  <c r="H42" i="7" l="1"/>
  <c r="I5" i="10"/>
  <c r="BG4" i="10"/>
  <c r="BF4" i="10"/>
  <c r="F33" i="8" l="1"/>
  <c r="F34" i="8" s="1"/>
  <c r="F31" i="8"/>
  <c r="F29" i="8"/>
  <c r="F30" i="8" s="1"/>
  <c r="F32" i="8"/>
  <c r="F35" i="8" s="1"/>
  <c r="AD2" i="10"/>
  <c r="AJ2" i="10"/>
  <c r="X3" i="10"/>
  <c r="H4" i="10"/>
  <c r="I4" i="10"/>
  <c r="J4" i="10"/>
  <c r="K4" i="10"/>
  <c r="L4" i="10"/>
  <c r="P4" i="10"/>
  <c r="Q4" i="10"/>
  <c r="U4" i="10"/>
  <c r="X4" i="10"/>
  <c r="AQ4" i="10"/>
  <c r="AR4" i="10"/>
  <c r="H5" i="10"/>
  <c r="J5" i="10"/>
  <c r="K5" i="10"/>
  <c r="L5" i="10"/>
  <c r="P5" i="10"/>
  <c r="Q5" i="10"/>
  <c r="U5" i="10"/>
  <c r="AQ5" i="10"/>
  <c r="AR5" i="10"/>
  <c r="H6" i="10"/>
  <c r="I6" i="10"/>
  <c r="J6" i="10"/>
  <c r="K6" i="10"/>
  <c r="L6" i="10"/>
  <c r="P6" i="10"/>
  <c r="Q6" i="10"/>
  <c r="U6" i="10"/>
  <c r="AQ6" i="10"/>
  <c r="AR6" i="10"/>
  <c r="H7" i="10"/>
  <c r="I7" i="10"/>
  <c r="J7" i="10"/>
  <c r="K7" i="10"/>
  <c r="L7" i="10"/>
  <c r="P7" i="10"/>
  <c r="Q7" i="10"/>
  <c r="U7" i="10"/>
  <c r="AQ7" i="10"/>
  <c r="AR7" i="10"/>
  <c r="H8" i="10"/>
  <c r="I8" i="10"/>
  <c r="J8" i="10"/>
  <c r="K8" i="10"/>
  <c r="L8" i="10"/>
  <c r="P8" i="10"/>
  <c r="Q8" i="10"/>
  <c r="U8" i="10"/>
  <c r="AQ8" i="10"/>
  <c r="AR8" i="10"/>
  <c r="H9" i="10"/>
  <c r="I9" i="10"/>
  <c r="J9" i="10"/>
  <c r="K9" i="10"/>
  <c r="L9" i="10"/>
  <c r="P9" i="10"/>
  <c r="Q9" i="10"/>
  <c r="U9" i="10"/>
  <c r="X9" i="10"/>
  <c r="AQ9" i="10"/>
  <c r="AR9" i="10"/>
  <c r="H10" i="10"/>
  <c r="I10" i="10"/>
  <c r="J10" i="10"/>
  <c r="K10" i="10"/>
  <c r="L10" i="10"/>
  <c r="P10" i="10"/>
  <c r="Q10" i="10"/>
  <c r="U10" i="10"/>
  <c r="AQ10" i="10"/>
  <c r="AR10" i="10"/>
  <c r="H11" i="10"/>
  <c r="I11" i="10"/>
  <c r="J11" i="10"/>
  <c r="K11" i="10"/>
  <c r="L11" i="10"/>
  <c r="P11" i="10"/>
  <c r="Q11" i="10"/>
  <c r="U11" i="10"/>
  <c r="AQ11" i="10"/>
  <c r="AR11" i="10"/>
  <c r="H12" i="10"/>
  <c r="I12" i="10"/>
  <c r="J12" i="10"/>
  <c r="K12" i="10"/>
  <c r="L12" i="10"/>
  <c r="P12" i="10"/>
  <c r="Q12" i="10"/>
  <c r="U12" i="10"/>
  <c r="AQ12" i="10"/>
  <c r="AR12" i="10"/>
  <c r="H13" i="10"/>
  <c r="I13" i="10"/>
  <c r="J13" i="10"/>
  <c r="K13" i="10"/>
  <c r="L13" i="10"/>
  <c r="P13" i="10"/>
  <c r="Q13" i="10"/>
  <c r="U13" i="10"/>
  <c r="X13" i="10"/>
  <c r="AQ13" i="10"/>
  <c r="AR13" i="10"/>
  <c r="H14" i="10"/>
  <c r="I14" i="10"/>
  <c r="J14" i="10"/>
  <c r="K14" i="10"/>
  <c r="L14" i="10"/>
  <c r="P14" i="10"/>
  <c r="Q14" i="10"/>
  <c r="U14" i="10"/>
  <c r="AQ14" i="10"/>
  <c r="AR14" i="10"/>
  <c r="H15" i="10"/>
  <c r="I15" i="10"/>
  <c r="J15" i="10"/>
  <c r="K15" i="10"/>
  <c r="L15" i="10"/>
  <c r="P15" i="10"/>
  <c r="Q15" i="10"/>
  <c r="U15" i="10"/>
  <c r="AQ15" i="10"/>
  <c r="AR15" i="10"/>
  <c r="H16" i="10"/>
  <c r="I16" i="10"/>
  <c r="J16" i="10"/>
  <c r="K16" i="10"/>
  <c r="L16" i="10"/>
  <c r="P16" i="10"/>
  <c r="Q16" i="10"/>
  <c r="U16" i="10"/>
  <c r="AQ16" i="10"/>
  <c r="AR16" i="10"/>
  <c r="H17" i="10"/>
  <c r="I17" i="10"/>
  <c r="J17" i="10"/>
  <c r="K17" i="10"/>
  <c r="L17" i="10"/>
  <c r="P17" i="10"/>
  <c r="Q17" i="10"/>
  <c r="U17" i="10"/>
  <c r="AQ17" i="10"/>
  <c r="AR17" i="10"/>
  <c r="H18" i="10"/>
  <c r="I18" i="10"/>
  <c r="J18" i="10"/>
  <c r="K18" i="10"/>
  <c r="L18" i="10"/>
  <c r="P18" i="10"/>
  <c r="Q18" i="10"/>
  <c r="U18" i="10"/>
  <c r="AQ18" i="10"/>
  <c r="AR18" i="10"/>
  <c r="H19" i="10"/>
  <c r="I19" i="10"/>
  <c r="J19" i="10"/>
  <c r="K19" i="10"/>
  <c r="L19" i="10"/>
  <c r="P19" i="10"/>
  <c r="Q19" i="10"/>
  <c r="U19" i="10"/>
  <c r="AQ19" i="10"/>
  <c r="AR19" i="10"/>
  <c r="H20" i="10"/>
  <c r="I20" i="10"/>
  <c r="J20" i="10"/>
  <c r="K20" i="10"/>
  <c r="L20" i="10"/>
  <c r="P20" i="10"/>
  <c r="Q20" i="10"/>
  <c r="U20" i="10"/>
  <c r="AQ20" i="10"/>
  <c r="AR20" i="10"/>
  <c r="H21" i="10"/>
  <c r="I21" i="10"/>
  <c r="J21" i="10"/>
  <c r="K21" i="10"/>
  <c r="L21" i="10"/>
  <c r="P21" i="10"/>
  <c r="Q21" i="10"/>
  <c r="U21" i="10"/>
  <c r="AQ21" i="10"/>
  <c r="AR21" i="10"/>
  <c r="H22" i="10"/>
  <c r="I22" i="10"/>
  <c r="J22" i="10"/>
  <c r="K22" i="10"/>
  <c r="L22" i="10"/>
  <c r="P22" i="10"/>
  <c r="Q22" i="10"/>
  <c r="U22" i="10"/>
  <c r="AQ22" i="10"/>
  <c r="AR22" i="10"/>
  <c r="H23" i="10"/>
  <c r="I23" i="10"/>
  <c r="J23" i="10"/>
  <c r="K23" i="10"/>
  <c r="L23" i="10"/>
  <c r="P23" i="10"/>
  <c r="Q23" i="10"/>
  <c r="U23" i="10"/>
  <c r="AQ23" i="10"/>
  <c r="AR23" i="10"/>
  <c r="H24" i="10"/>
  <c r="I24" i="10"/>
  <c r="J24" i="10"/>
  <c r="K24" i="10"/>
  <c r="L24" i="10"/>
  <c r="P24" i="10"/>
  <c r="Q24" i="10"/>
  <c r="U24" i="10"/>
  <c r="AQ24" i="10"/>
  <c r="AR24" i="10"/>
  <c r="H25" i="10"/>
  <c r="I25" i="10"/>
  <c r="J25" i="10"/>
  <c r="K25" i="10"/>
  <c r="L25" i="10"/>
  <c r="P25" i="10"/>
  <c r="Q25" i="10"/>
  <c r="U25" i="10"/>
  <c r="AQ25" i="10"/>
  <c r="AR25" i="10"/>
  <c r="H26" i="10"/>
  <c r="I26" i="10"/>
  <c r="J26" i="10"/>
  <c r="K26" i="10"/>
  <c r="L26" i="10"/>
  <c r="P26" i="10"/>
  <c r="Q26" i="10"/>
  <c r="U26" i="10"/>
  <c r="AQ26" i="10"/>
  <c r="AR26" i="10"/>
  <c r="H27" i="10"/>
  <c r="I27" i="10"/>
  <c r="J27" i="10"/>
  <c r="K27" i="10"/>
  <c r="L27" i="10"/>
  <c r="P27" i="10"/>
  <c r="Q27" i="10"/>
  <c r="U27" i="10"/>
  <c r="AQ27" i="10"/>
  <c r="AR27" i="10"/>
  <c r="H28" i="10"/>
  <c r="I28" i="10"/>
  <c r="J28" i="10"/>
  <c r="K28" i="10"/>
  <c r="L28" i="10"/>
  <c r="P28" i="10"/>
  <c r="Q28" i="10"/>
  <c r="U28" i="10"/>
  <c r="AQ28" i="10"/>
  <c r="AR28" i="10"/>
  <c r="H29" i="10"/>
  <c r="I29" i="10"/>
  <c r="J29" i="10"/>
  <c r="K29" i="10"/>
  <c r="L29" i="10"/>
  <c r="P29" i="10"/>
  <c r="Q29" i="10"/>
  <c r="U29" i="10"/>
  <c r="AQ29" i="10"/>
  <c r="AR29" i="10"/>
  <c r="H30" i="10"/>
  <c r="I30" i="10"/>
  <c r="J30" i="10"/>
  <c r="K30" i="10"/>
  <c r="L30" i="10"/>
  <c r="P30" i="10"/>
  <c r="Q30" i="10"/>
  <c r="U30" i="10"/>
  <c r="AQ30" i="10"/>
  <c r="AR30" i="10"/>
  <c r="H31" i="10"/>
  <c r="I31" i="10"/>
  <c r="J31" i="10"/>
  <c r="K31" i="10"/>
  <c r="L31" i="10"/>
  <c r="P31" i="10"/>
  <c r="Q31" i="10"/>
  <c r="U31" i="10"/>
  <c r="AQ31" i="10"/>
  <c r="AR31" i="10"/>
  <c r="H32" i="10"/>
  <c r="I32" i="10"/>
  <c r="J32" i="10"/>
  <c r="K32" i="10"/>
  <c r="L32" i="10"/>
  <c r="P32" i="10"/>
  <c r="Q32" i="10"/>
  <c r="U32" i="10"/>
  <c r="AQ32" i="10"/>
  <c r="AR32" i="10"/>
  <c r="H33" i="10"/>
  <c r="I33" i="10"/>
  <c r="J33" i="10"/>
  <c r="K33" i="10"/>
  <c r="L33" i="10"/>
  <c r="P33" i="10"/>
  <c r="Q33" i="10"/>
  <c r="U33" i="10"/>
  <c r="AQ33" i="10"/>
  <c r="AR33" i="10"/>
  <c r="H34" i="10"/>
  <c r="I34" i="10"/>
  <c r="J34" i="10"/>
  <c r="K34" i="10"/>
  <c r="L34" i="10"/>
  <c r="P34" i="10"/>
  <c r="Q34" i="10"/>
  <c r="U34" i="10"/>
  <c r="AQ34" i="10"/>
  <c r="AR34" i="10"/>
  <c r="H35" i="10"/>
  <c r="I35" i="10"/>
  <c r="J35" i="10"/>
  <c r="K35" i="10"/>
  <c r="L35" i="10"/>
  <c r="P35" i="10"/>
  <c r="Q35" i="10"/>
  <c r="U35" i="10"/>
  <c r="AQ35" i="10"/>
  <c r="AR35" i="10"/>
  <c r="H36" i="10"/>
  <c r="I36" i="10"/>
  <c r="J36" i="10"/>
  <c r="K36" i="10"/>
  <c r="L36" i="10"/>
  <c r="P36" i="10"/>
  <c r="Q36" i="10"/>
  <c r="U36" i="10"/>
  <c r="AQ36" i="10"/>
  <c r="AR36" i="10"/>
  <c r="H37" i="10"/>
  <c r="I37" i="10"/>
  <c r="J37" i="10"/>
  <c r="K37" i="10"/>
  <c r="L37" i="10"/>
  <c r="P37" i="10"/>
  <c r="Q37" i="10"/>
  <c r="U37" i="10"/>
  <c r="AQ37" i="10"/>
  <c r="AR37" i="10"/>
  <c r="H38" i="10"/>
  <c r="I38" i="10"/>
  <c r="J38" i="10"/>
  <c r="K38" i="10"/>
  <c r="L38" i="10"/>
  <c r="P38" i="10"/>
  <c r="Q38" i="10"/>
  <c r="U38" i="10"/>
  <c r="AQ38" i="10"/>
  <c r="AR38" i="10"/>
  <c r="H39" i="10"/>
  <c r="I39" i="10"/>
  <c r="J39" i="10"/>
  <c r="K39" i="10"/>
  <c r="L39" i="10"/>
  <c r="P39" i="10"/>
  <c r="Q39" i="10"/>
  <c r="U39" i="10"/>
  <c r="AQ39" i="10"/>
  <c r="AR39" i="10"/>
  <c r="H40" i="10"/>
  <c r="I40" i="10"/>
  <c r="J40" i="10"/>
  <c r="K40" i="10"/>
  <c r="L40" i="10"/>
  <c r="P40" i="10"/>
  <c r="Q40" i="10"/>
  <c r="U40" i="10"/>
  <c r="AQ40" i="10"/>
  <c r="AR40" i="10"/>
  <c r="H41" i="10"/>
  <c r="I41" i="10"/>
  <c r="J41" i="10"/>
  <c r="K41" i="10"/>
  <c r="L41" i="10"/>
  <c r="P41" i="10"/>
  <c r="Q41" i="10"/>
  <c r="U41" i="10"/>
  <c r="AQ41" i="10"/>
  <c r="AR41" i="10"/>
  <c r="H42" i="10"/>
  <c r="I42" i="10"/>
  <c r="J42" i="10"/>
  <c r="K42" i="10"/>
  <c r="L42" i="10"/>
  <c r="P42" i="10"/>
  <c r="Q42" i="10"/>
  <c r="U42" i="10"/>
  <c r="AQ42" i="10"/>
  <c r="AR42" i="10"/>
  <c r="H43" i="10"/>
  <c r="I43" i="10"/>
  <c r="J43" i="10"/>
  <c r="K43" i="10"/>
  <c r="L43" i="10"/>
  <c r="P43" i="10"/>
  <c r="Q43" i="10"/>
  <c r="U43" i="10"/>
  <c r="AQ43" i="10"/>
  <c r="AR43" i="10"/>
  <c r="H44" i="10"/>
  <c r="I44" i="10"/>
  <c r="J44" i="10"/>
  <c r="K44" i="10"/>
  <c r="L44" i="10"/>
  <c r="P44" i="10"/>
  <c r="Q44" i="10"/>
  <c r="U44" i="10"/>
  <c r="AQ44" i="10"/>
  <c r="AR44" i="10"/>
  <c r="H45" i="10"/>
  <c r="I45" i="10"/>
  <c r="J45" i="10"/>
  <c r="K45" i="10"/>
  <c r="L45" i="10"/>
  <c r="P45" i="10"/>
  <c r="Q45" i="10"/>
  <c r="U45" i="10"/>
  <c r="AQ45" i="10"/>
  <c r="AR45" i="10"/>
  <c r="H46" i="10"/>
  <c r="I46" i="10"/>
  <c r="J46" i="10"/>
  <c r="K46" i="10"/>
  <c r="L46" i="10"/>
  <c r="P46" i="10"/>
  <c r="Q46" i="10"/>
  <c r="U46" i="10"/>
  <c r="AQ46" i="10"/>
  <c r="AR46" i="10"/>
  <c r="H47" i="10"/>
  <c r="I47" i="10"/>
  <c r="J47" i="10"/>
  <c r="K47" i="10"/>
  <c r="L47" i="10"/>
  <c r="P47" i="10"/>
  <c r="Q47" i="10"/>
  <c r="U47" i="10"/>
  <c r="AQ47" i="10"/>
  <c r="AR47" i="10"/>
  <c r="I48" i="10"/>
  <c r="J48" i="10"/>
  <c r="K48" i="10"/>
  <c r="L48" i="10"/>
  <c r="P48" i="10"/>
  <c r="Q48" i="10"/>
  <c r="U48" i="10"/>
  <c r="AQ48" i="10"/>
  <c r="AR48" i="10"/>
  <c r="I49" i="10"/>
  <c r="J49" i="10"/>
  <c r="K49" i="10"/>
  <c r="L49" i="10"/>
  <c r="P49" i="10"/>
  <c r="Q49" i="10"/>
  <c r="U49" i="10"/>
  <c r="AQ49" i="10"/>
  <c r="AR49" i="10"/>
  <c r="I50" i="10"/>
  <c r="J50" i="10"/>
  <c r="K50" i="10"/>
  <c r="L50" i="10"/>
  <c r="P50" i="10"/>
  <c r="Q50" i="10"/>
  <c r="U50" i="10"/>
  <c r="AQ50" i="10"/>
  <c r="AR50" i="10"/>
  <c r="I51" i="10"/>
  <c r="J51" i="10"/>
  <c r="K51" i="10"/>
  <c r="L51" i="10"/>
  <c r="P51" i="10"/>
  <c r="Q51" i="10"/>
  <c r="U51" i="10"/>
  <c r="AQ51" i="10"/>
  <c r="AR51" i="10"/>
  <c r="I52" i="10"/>
  <c r="J52" i="10"/>
  <c r="K52" i="10"/>
  <c r="L52" i="10"/>
  <c r="P52" i="10"/>
  <c r="Q52" i="10"/>
  <c r="U52" i="10"/>
  <c r="AQ52" i="10"/>
  <c r="AR52" i="10"/>
  <c r="I53" i="10"/>
  <c r="J53" i="10"/>
  <c r="K53" i="10"/>
  <c r="L53" i="10"/>
  <c r="P53" i="10"/>
  <c r="Q53" i="10"/>
  <c r="U53" i="10"/>
  <c r="AQ53" i="10"/>
  <c r="AR53" i="10"/>
  <c r="I54" i="10"/>
  <c r="J54" i="10"/>
  <c r="K54" i="10"/>
  <c r="L54" i="10"/>
  <c r="P54" i="10"/>
  <c r="Q54" i="10"/>
  <c r="U54" i="10"/>
  <c r="AQ54" i="10"/>
  <c r="AR54" i="10"/>
  <c r="I55" i="10"/>
  <c r="J55" i="10"/>
  <c r="K55" i="10"/>
  <c r="L55" i="10"/>
  <c r="P55" i="10"/>
  <c r="Q55" i="10"/>
  <c r="U55" i="10"/>
  <c r="AQ55" i="10"/>
  <c r="AR55" i="10"/>
  <c r="I56" i="10"/>
  <c r="J56" i="10"/>
  <c r="K56" i="10"/>
  <c r="L56" i="10"/>
  <c r="P56" i="10"/>
  <c r="Q56" i="10"/>
  <c r="U56" i="10"/>
  <c r="AQ56" i="10"/>
  <c r="AR56" i="10"/>
  <c r="I57" i="10"/>
  <c r="J57" i="10"/>
  <c r="K57" i="10"/>
  <c r="L57" i="10"/>
  <c r="P57" i="10"/>
  <c r="Q57" i="10"/>
  <c r="U57" i="10"/>
  <c r="AQ57" i="10"/>
  <c r="AR57" i="10"/>
  <c r="I58" i="10"/>
  <c r="J58" i="10"/>
  <c r="K58" i="10"/>
  <c r="L58" i="10"/>
  <c r="P58" i="10"/>
  <c r="Q58" i="10"/>
  <c r="U58" i="10"/>
  <c r="AQ58" i="10"/>
  <c r="AR58" i="10"/>
  <c r="I59" i="10"/>
  <c r="J59" i="10"/>
  <c r="K59" i="10"/>
  <c r="L59" i="10"/>
  <c r="P59" i="10"/>
  <c r="Q59" i="10"/>
  <c r="U59" i="10"/>
  <c r="AQ59" i="10"/>
  <c r="AR59" i="10"/>
  <c r="I60" i="10"/>
  <c r="J60" i="10"/>
  <c r="K60" i="10"/>
  <c r="L60" i="10"/>
  <c r="P60" i="10"/>
  <c r="Q60" i="10"/>
  <c r="U60" i="10"/>
  <c r="AQ60" i="10"/>
  <c r="AR60" i="10"/>
  <c r="I61" i="10"/>
  <c r="J61" i="10"/>
  <c r="K61" i="10"/>
  <c r="L61" i="10"/>
  <c r="P61" i="10"/>
  <c r="Q61" i="10"/>
  <c r="U61" i="10"/>
  <c r="AQ61" i="10"/>
  <c r="AR61" i="10"/>
  <c r="I62" i="10"/>
  <c r="J62" i="10"/>
  <c r="K62" i="10"/>
  <c r="L62" i="10"/>
  <c r="P62" i="10"/>
  <c r="Q62" i="10"/>
  <c r="U62" i="10"/>
  <c r="AQ62" i="10"/>
  <c r="AR62" i="10"/>
  <c r="I63" i="10"/>
  <c r="J63" i="10"/>
  <c r="K63" i="10"/>
  <c r="L63" i="10"/>
  <c r="P63" i="10"/>
  <c r="Q63" i="10"/>
  <c r="U63" i="10"/>
  <c r="AQ63" i="10"/>
  <c r="AR63" i="10"/>
  <c r="I64" i="10"/>
  <c r="J64" i="10"/>
  <c r="K64" i="10"/>
  <c r="L64" i="10"/>
  <c r="P64" i="10"/>
  <c r="Q64" i="10"/>
  <c r="U64" i="10"/>
  <c r="AQ64" i="10"/>
  <c r="AR64" i="10"/>
  <c r="I65" i="10"/>
  <c r="J65" i="10"/>
  <c r="K65" i="10"/>
  <c r="L65" i="10"/>
  <c r="P65" i="10"/>
  <c r="Q65" i="10"/>
  <c r="U65" i="10"/>
  <c r="AQ65" i="10"/>
  <c r="AR65" i="10"/>
  <c r="I66" i="10"/>
  <c r="J66" i="10"/>
  <c r="K66" i="10"/>
  <c r="L66" i="10"/>
  <c r="P66" i="10"/>
  <c r="Q66" i="10"/>
  <c r="U66" i="10"/>
  <c r="AQ66" i="10"/>
  <c r="AR66" i="10"/>
  <c r="I67" i="10"/>
  <c r="J67" i="10"/>
  <c r="K67" i="10"/>
  <c r="L67" i="10"/>
  <c r="P67" i="10"/>
  <c r="Q67" i="10"/>
  <c r="U67" i="10"/>
  <c r="AQ67" i="10"/>
  <c r="AR67" i="10"/>
  <c r="I68" i="10"/>
  <c r="J68" i="10"/>
  <c r="K68" i="10"/>
  <c r="L68" i="10"/>
  <c r="P68" i="10"/>
  <c r="Q68" i="10"/>
  <c r="U68" i="10"/>
  <c r="AQ68" i="10"/>
  <c r="AR68" i="10"/>
  <c r="I69" i="10"/>
  <c r="J69" i="10"/>
  <c r="K69" i="10"/>
  <c r="L69" i="10"/>
  <c r="P69" i="10"/>
  <c r="Q69" i="10"/>
  <c r="U69" i="10"/>
  <c r="AQ69" i="10"/>
  <c r="AR69" i="10"/>
  <c r="I70" i="10"/>
  <c r="J70" i="10"/>
  <c r="K70" i="10"/>
  <c r="L70" i="10"/>
  <c r="P70" i="10"/>
  <c r="Q70" i="10"/>
  <c r="U70" i="10"/>
  <c r="AQ70" i="10"/>
  <c r="AR70" i="10"/>
  <c r="I71" i="10"/>
  <c r="J71" i="10"/>
  <c r="K71" i="10"/>
  <c r="L71" i="10"/>
  <c r="P71" i="10"/>
  <c r="Q71" i="10"/>
  <c r="U71" i="10"/>
  <c r="AQ71" i="10"/>
  <c r="AR71" i="10"/>
  <c r="I72" i="10"/>
  <c r="J72" i="10"/>
  <c r="K72" i="10"/>
  <c r="L72" i="10"/>
  <c r="P72" i="10"/>
  <c r="Q72" i="10"/>
  <c r="U72" i="10"/>
  <c r="AQ72" i="10"/>
  <c r="AR72" i="10"/>
  <c r="I73" i="10"/>
  <c r="J73" i="10"/>
  <c r="K73" i="10"/>
  <c r="L73" i="10"/>
  <c r="P73" i="10"/>
  <c r="Q73" i="10"/>
  <c r="U73" i="10"/>
  <c r="AQ73" i="10"/>
  <c r="AR73" i="10"/>
  <c r="I74" i="10"/>
  <c r="J74" i="10"/>
  <c r="K74" i="10"/>
  <c r="L74" i="10"/>
  <c r="P74" i="10"/>
  <c r="Q74" i="10"/>
  <c r="U74" i="10"/>
  <c r="AQ74" i="10"/>
  <c r="AR74" i="10"/>
  <c r="I75" i="10"/>
  <c r="J75" i="10"/>
  <c r="K75" i="10"/>
  <c r="L75" i="10"/>
  <c r="P75" i="10"/>
  <c r="Q75" i="10"/>
  <c r="U75" i="10"/>
  <c r="AQ75" i="10"/>
  <c r="AR75" i="10"/>
  <c r="I76" i="10"/>
  <c r="J76" i="10"/>
  <c r="K76" i="10"/>
  <c r="L76" i="10"/>
  <c r="P76" i="10"/>
  <c r="Q76" i="10"/>
  <c r="U76" i="10"/>
  <c r="AQ76" i="10"/>
  <c r="AR76" i="10"/>
  <c r="I77" i="10"/>
  <c r="J77" i="10"/>
  <c r="K77" i="10"/>
  <c r="L77" i="10"/>
  <c r="P77" i="10"/>
  <c r="Q77" i="10"/>
  <c r="U77" i="10"/>
  <c r="AQ77" i="10"/>
  <c r="AR77" i="10"/>
  <c r="I78" i="10"/>
  <c r="J78" i="10"/>
  <c r="K78" i="10"/>
  <c r="L78" i="10"/>
  <c r="P78" i="10"/>
  <c r="Q78" i="10"/>
  <c r="U78" i="10"/>
  <c r="AQ78" i="10"/>
  <c r="AR78" i="10"/>
  <c r="I79" i="10"/>
  <c r="J79" i="10"/>
  <c r="K79" i="10"/>
  <c r="L79" i="10"/>
  <c r="P79" i="10"/>
  <c r="Q79" i="10"/>
  <c r="U79" i="10"/>
  <c r="AQ79" i="10"/>
  <c r="AR79" i="10"/>
  <c r="I80" i="10"/>
  <c r="J80" i="10"/>
  <c r="K80" i="10"/>
  <c r="L80" i="10"/>
  <c r="P80" i="10"/>
  <c r="Q80" i="10"/>
  <c r="U80" i="10"/>
  <c r="AQ80" i="10"/>
  <c r="AR80" i="10"/>
  <c r="I81" i="10"/>
  <c r="J81" i="10"/>
  <c r="K81" i="10"/>
  <c r="L81" i="10"/>
  <c r="P81" i="10"/>
  <c r="Q81" i="10"/>
  <c r="U81" i="10"/>
  <c r="AQ81" i="10"/>
  <c r="AR81" i="10"/>
  <c r="I82" i="10"/>
  <c r="J82" i="10"/>
  <c r="K82" i="10"/>
  <c r="L82" i="10"/>
  <c r="P82" i="10"/>
  <c r="Q82" i="10"/>
  <c r="U82" i="10"/>
  <c r="AQ82" i="10"/>
  <c r="AR82" i="10"/>
  <c r="I83" i="10"/>
  <c r="J83" i="10"/>
  <c r="K83" i="10"/>
  <c r="L83" i="10"/>
  <c r="P83" i="10"/>
  <c r="Q83" i="10"/>
  <c r="U83" i="10"/>
  <c r="AQ83" i="10"/>
  <c r="AR83" i="10"/>
  <c r="I84" i="10"/>
  <c r="J84" i="10"/>
  <c r="K84" i="10"/>
  <c r="L84" i="10"/>
  <c r="P84" i="10"/>
  <c r="Q84" i="10"/>
  <c r="U84" i="10"/>
  <c r="AQ84" i="10"/>
  <c r="AR84" i="10"/>
  <c r="I85" i="10"/>
  <c r="J85" i="10"/>
  <c r="K85" i="10"/>
  <c r="L85" i="10"/>
  <c r="P85" i="10"/>
  <c r="Q85" i="10"/>
  <c r="U85" i="10"/>
  <c r="AQ85" i="10"/>
  <c r="AR85" i="10"/>
  <c r="I86" i="10"/>
  <c r="J86" i="10"/>
  <c r="K86" i="10"/>
  <c r="L86" i="10"/>
  <c r="P86" i="10"/>
  <c r="Q86" i="10"/>
  <c r="U86" i="10"/>
  <c r="AQ86" i="10"/>
  <c r="AR86" i="10"/>
  <c r="I87" i="10"/>
  <c r="J87" i="10"/>
  <c r="K87" i="10"/>
  <c r="L87" i="10"/>
  <c r="P87" i="10"/>
  <c r="Q87" i="10"/>
  <c r="U87" i="10"/>
  <c r="AQ87" i="10"/>
  <c r="AR87" i="10"/>
  <c r="I88" i="10"/>
  <c r="J88" i="10"/>
  <c r="K88" i="10"/>
  <c r="L88" i="10"/>
  <c r="P88" i="10"/>
  <c r="Q88" i="10"/>
  <c r="U88" i="10"/>
  <c r="AQ88" i="10"/>
  <c r="AR88" i="10"/>
  <c r="I89" i="10"/>
  <c r="J89" i="10"/>
  <c r="K89" i="10"/>
  <c r="L89" i="10"/>
  <c r="P89" i="10"/>
  <c r="Q89" i="10"/>
  <c r="U89" i="10"/>
  <c r="AQ89" i="10"/>
  <c r="AR89" i="10"/>
  <c r="I90" i="10"/>
  <c r="J90" i="10"/>
  <c r="K90" i="10"/>
  <c r="L90" i="10"/>
  <c r="P90" i="10"/>
  <c r="Q90" i="10"/>
  <c r="U90" i="10"/>
  <c r="AQ90" i="10"/>
  <c r="AR90" i="10"/>
  <c r="I91" i="10"/>
  <c r="J91" i="10"/>
  <c r="K91" i="10"/>
  <c r="L91" i="10"/>
  <c r="P91" i="10"/>
  <c r="Q91" i="10"/>
  <c r="U91" i="10"/>
  <c r="AQ91" i="10"/>
  <c r="AR91" i="10"/>
  <c r="I92" i="10"/>
  <c r="J92" i="10"/>
  <c r="K92" i="10"/>
  <c r="L92" i="10"/>
  <c r="P92" i="10"/>
  <c r="Q92" i="10"/>
  <c r="U92" i="10"/>
  <c r="AQ92" i="10"/>
  <c r="AR92" i="10"/>
  <c r="I93" i="10"/>
  <c r="J93" i="10"/>
  <c r="K93" i="10"/>
  <c r="L93" i="10"/>
  <c r="P93" i="10"/>
  <c r="Q93" i="10"/>
  <c r="U93" i="10"/>
  <c r="AQ93" i="10"/>
  <c r="AR93" i="10"/>
  <c r="I94" i="10"/>
  <c r="J94" i="10"/>
  <c r="K94" i="10"/>
  <c r="L94" i="10"/>
  <c r="P94" i="10"/>
  <c r="Q94" i="10"/>
  <c r="U94" i="10"/>
  <c r="AQ94" i="10"/>
  <c r="AR94" i="10"/>
  <c r="I95" i="10"/>
  <c r="J95" i="10"/>
  <c r="K95" i="10"/>
  <c r="L95" i="10"/>
  <c r="P95" i="10"/>
  <c r="Q95" i="10"/>
  <c r="U95" i="10"/>
  <c r="AQ95" i="10"/>
  <c r="AR95" i="10"/>
  <c r="C3" i="7"/>
  <c r="X21" i="10" s="1"/>
  <c r="C4" i="7"/>
  <c r="X22" i="10" s="1"/>
  <c r="C5" i="7"/>
  <c r="F7" i="7"/>
  <c r="F8" i="7"/>
  <c r="F9" i="7"/>
  <c r="F10" i="7"/>
  <c r="F11" i="7"/>
  <c r="F12" i="7"/>
  <c r="F13" i="7"/>
  <c r="F14" i="7"/>
  <c r="F15" i="7"/>
  <c r="F16" i="7"/>
  <c r="F17" i="7"/>
  <c r="F18" i="7"/>
  <c r="F19" i="7"/>
  <c r="F20" i="7"/>
  <c r="F21" i="7"/>
  <c r="F22" i="7"/>
  <c r="F23" i="7"/>
  <c r="F24" i="7" s="1"/>
  <c r="F26" i="7"/>
  <c r="F27" i="7"/>
  <c r="F28" i="7"/>
  <c r="F29" i="7"/>
  <c r="F30" i="7" s="1"/>
  <c r="F31" i="7"/>
  <c r="F32" i="7"/>
  <c r="F33" i="7"/>
  <c r="F34" i="7"/>
  <c r="F35" i="7"/>
  <c r="F36" i="7"/>
  <c r="F37" i="7"/>
  <c r="F38" i="7"/>
  <c r="F39" i="7"/>
  <c r="F40" i="7"/>
  <c r="F41" i="7"/>
  <c r="F42" i="7"/>
  <c r="F43" i="7"/>
  <c r="F44" i="7"/>
  <c r="F46" i="7"/>
  <c r="F49" i="7"/>
  <c r="F50" i="7"/>
  <c r="F51" i="7"/>
  <c r="B55" i="7"/>
  <c r="B59" i="7"/>
  <c r="B60" i="7"/>
  <c r="B61" i="7"/>
  <c r="B64" i="7"/>
  <c r="H48" i="10"/>
  <c r="H49" i="10"/>
  <c r="H50" i="10"/>
  <c r="H51" i="10"/>
  <c r="H52" i="10"/>
  <c r="H53" i="10"/>
  <c r="H54" i="10"/>
  <c r="H55" i="10"/>
  <c r="H56" i="10"/>
  <c r="H57" i="10"/>
  <c r="H58" i="10"/>
  <c r="H59" i="10"/>
  <c r="H60" i="10"/>
  <c r="H61" i="10"/>
  <c r="H62" i="10"/>
  <c r="H63" i="10"/>
  <c r="H64" i="10"/>
  <c r="H65" i="10"/>
  <c r="H66" i="10"/>
  <c r="H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X23" i="10" l="1"/>
  <c r="X20" i="10" s="1"/>
  <c r="BJ2" i="10"/>
  <c r="F25" i="7"/>
  <c r="BD6" i="10" l="1"/>
  <c r="BD8" i="10"/>
  <c r="BF8" i="10" s="1"/>
  <c r="BD10" i="10"/>
  <c r="BD12" i="10"/>
  <c r="BF12" i="10" s="1"/>
  <c r="BD14" i="10"/>
  <c r="BD16" i="10"/>
  <c r="BF16" i="10" s="1"/>
  <c r="BD18" i="10"/>
  <c r="BD20" i="10"/>
  <c r="BF20" i="10" s="1"/>
  <c r="BD22" i="10"/>
  <c r="BD24" i="10"/>
  <c r="BF24" i="10" s="1"/>
  <c r="BD26" i="10"/>
  <c r="BF26" i="10" s="1"/>
  <c r="BD28" i="10"/>
  <c r="BD30" i="10"/>
  <c r="BD32" i="10"/>
  <c r="BF32" i="10" s="1"/>
  <c r="BD36" i="10"/>
  <c r="BD38" i="10"/>
  <c r="BF38" i="10" s="1"/>
  <c r="BD44" i="10"/>
  <c r="BD50" i="10"/>
  <c r="BF50" i="10" s="1"/>
  <c r="BD58" i="10"/>
  <c r="BD66" i="10"/>
  <c r="BF66" i="10" s="1"/>
  <c r="BD76" i="10"/>
  <c r="BD88" i="10"/>
  <c r="BF88" i="10" s="1"/>
  <c r="BD96" i="10"/>
  <c r="BF96" i="10" s="1"/>
  <c r="BD7" i="10"/>
  <c r="BD9" i="10"/>
  <c r="BD11" i="10"/>
  <c r="BF11" i="10" s="1"/>
  <c r="BD13" i="10"/>
  <c r="BF13" i="10" s="1"/>
  <c r="BD15" i="10"/>
  <c r="BF15" i="10" s="1"/>
  <c r="BD17" i="10"/>
  <c r="BD19" i="10"/>
  <c r="BF19" i="10" s="1"/>
  <c r="BD21" i="10"/>
  <c r="BD23" i="10"/>
  <c r="BF23" i="10" s="1"/>
  <c r="BD25" i="10"/>
  <c r="BD27" i="10"/>
  <c r="BF27" i="10" s="1"/>
  <c r="BD29" i="10"/>
  <c r="BD31" i="10"/>
  <c r="BF31" i="10" s="1"/>
  <c r="BD33" i="10"/>
  <c r="BD35" i="10"/>
  <c r="BF35" i="10" s="1"/>
  <c r="BD37" i="10"/>
  <c r="BD39" i="10"/>
  <c r="BF39" i="10" s="1"/>
  <c r="BD41" i="10"/>
  <c r="BD43" i="10"/>
  <c r="BF43" i="10" s="1"/>
  <c r="BD45" i="10"/>
  <c r="BF45" i="10" s="1"/>
  <c r="BD47" i="10"/>
  <c r="BD49" i="10"/>
  <c r="BD51" i="10"/>
  <c r="BD53" i="10"/>
  <c r="BD55" i="10"/>
  <c r="BF55" i="10" s="1"/>
  <c r="BD57" i="10"/>
  <c r="BD59" i="10"/>
  <c r="BF59" i="10" s="1"/>
  <c r="BD61" i="10"/>
  <c r="BF61" i="10" s="1"/>
  <c r="BD63" i="10"/>
  <c r="BF63" i="10" s="1"/>
  <c r="BD65" i="10"/>
  <c r="BD67" i="10"/>
  <c r="BF67" i="10" s="1"/>
  <c r="BD69" i="10"/>
  <c r="BF69" i="10" s="1"/>
  <c r="BD71" i="10"/>
  <c r="BF71" i="10" s="1"/>
  <c r="BD73" i="10"/>
  <c r="BD75" i="10"/>
  <c r="BF75" i="10" s="1"/>
  <c r="BD77" i="10"/>
  <c r="BF77" i="10" s="1"/>
  <c r="BD79" i="10"/>
  <c r="BF79" i="10" s="1"/>
  <c r="BD81" i="10"/>
  <c r="BD83" i="10"/>
  <c r="BF83" i="10" s="1"/>
  <c r="BD85" i="10"/>
  <c r="BD87" i="10"/>
  <c r="BF87" i="10" s="1"/>
  <c r="BD89" i="10"/>
  <c r="BD91" i="10"/>
  <c r="BF91" i="10" s="1"/>
  <c r="BD93" i="10"/>
  <c r="BF93" i="10" s="1"/>
  <c r="BD95" i="10"/>
  <c r="BF95" i="10" s="1"/>
  <c r="BD97" i="10"/>
  <c r="BD99" i="10"/>
  <c r="BF99" i="10" s="1"/>
  <c r="BD5" i="10"/>
  <c r="BF5" i="10" s="1"/>
  <c r="BD34" i="10"/>
  <c r="BF34" i="10" s="1"/>
  <c r="BD40" i="10"/>
  <c r="BD42" i="10"/>
  <c r="BD46" i="10"/>
  <c r="BF46" i="10" s="1"/>
  <c r="BD48" i="10"/>
  <c r="BF48" i="10" s="1"/>
  <c r="BD52" i="10"/>
  <c r="BD54" i="10"/>
  <c r="BF54" i="10" s="1"/>
  <c r="BD56" i="10"/>
  <c r="BF56" i="10" s="1"/>
  <c r="BD60" i="10"/>
  <c r="BF60" i="10" s="1"/>
  <c r="BD62" i="10"/>
  <c r="BD64" i="10"/>
  <c r="BF64" i="10" s="1"/>
  <c r="BD68" i="10"/>
  <c r="BF68" i="10" s="1"/>
  <c r="BD70" i="10"/>
  <c r="BF70" i="10" s="1"/>
  <c r="BD72" i="10"/>
  <c r="BD74" i="10"/>
  <c r="BF74" i="10" s="1"/>
  <c r="BD78" i="10"/>
  <c r="BF78" i="10" s="1"/>
  <c r="BD80" i="10"/>
  <c r="BF80" i="10" s="1"/>
  <c r="BD82" i="10"/>
  <c r="BD84" i="10"/>
  <c r="BF84" i="10" s="1"/>
  <c r="BD86" i="10"/>
  <c r="BF86" i="10" s="1"/>
  <c r="BD90" i="10"/>
  <c r="BF90" i="10" s="1"/>
  <c r="BD92" i="10"/>
  <c r="BD94" i="10"/>
  <c r="BD98" i="10"/>
  <c r="BF98" i="10" s="1"/>
  <c r="BD100" i="10"/>
  <c r="BF100" i="10" s="1"/>
  <c r="BE5" i="10"/>
  <c r="BG5" i="10" s="1"/>
  <c r="BE91" i="10"/>
  <c r="BG91" i="10" s="1"/>
  <c r="BE75" i="10"/>
  <c r="BG75" i="10" s="1"/>
  <c r="BE61" i="10"/>
  <c r="BG61" i="10" s="1"/>
  <c r="BE45" i="10"/>
  <c r="BG45" i="10" s="1"/>
  <c r="BE27" i="10"/>
  <c r="BG27" i="10" s="1"/>
  <c r="BE15" i="10"/>
  <c r="BG15" i="10" s="1"/>
  <c r="BE11" i="10"/>
  <c r="BG11" i="10" s="1"/>
  <c r="BE7" i="10"/>
  <c r="BG7" i="10" s="1"/>
  <c r="BE95" i="10"/>
  <c r="BG95" i="10" s="1"/>
  <c r="BE89" i="10"/>
  <c r="BG89" i="10" s="1"/>
  <c r="BE83" i="10"/>
  <c r="BG83" i="10" s="1"/>
  <c r="BE79" i="10"/>
  <c r="BG79" i="10" s="1"/>
  <c r="BE73" i="10"/>
  <c r="BG73" i="10" s="1"/>
  <c r="BE69" i="10"/>
  <c r="BG69" i="10" s="1"/>
  <c r="BE63" i="10"/>
  <c r="BG63" i="10" s="1"/>
  <c r="BE57" i="10"/>
  <c r="BG57" i="10" s="1"/>
  <c r="BE51" i="10"/>
  <c r="BG51" i="10" s="1"/>
  <c r="BE47" i="10"/>
  <c r="BG47" i="10" s="1"/>
  <c r="BE41" i="10"/>
  <c r="BG41" i="10" s="1"/>
  <c r="BE35" i="10"/>
  <c r="BG35" i="10" s="1"/>
  <c r="BE31" i="10"/>
  <c r="BG31" i="10" s="1"/>
  <c r="BE25" i="10"/>
  <c r="BG25" i="10" s="1"/>
  <c r="BE21" i="10"/>
  <c r="BG21" i="10" s="1"/>
  <c r="BE100" i="10"/>
  <c r="BG100" i="10" s="1"/>
  <c r="BE96" i="10"/>
  <c r="BG96" i="10" s="1"/>
  <c r="BE92" i="10"/>
  <c r="BG92" i="10" s="1"/>
  <c r="BE88" i="10"/>
  <c r="BG88" i="10" s="1"/>
  <c r="BE84" i="10"/>
  <c r="BG84" i="10" s="1"/>
  <c r="BE80" i="10"/>
  <c r="BG80" i="10" s="1"/>
  <c r="BE76" i="10"/>
  <c r="BG76" i="10" s="1"/>
  <c r="BE72" i="10"/>
  <c r="BG72" i="10" s="1"/>
  <c r="BE68" i="10"/>
  <c r="BG68" i="10" s="1"/>
  <c r="BE64" i="10"/>
  <c r="BG64" i="10" s="1"/>
  <c r="BE60" i="10"/>
  <c r="BG60" i="10" s="1"/>
  <c r="BE56" i="10"/>
  <c r="BG56" i="10" s="1"/>
  <c r="BE52" i="10"/>
  <c r="BG52" i="10" s="1"/>
  <c r="BE48" i="10"/>
  <c r="BG48" i="10" s="1"/>
  <c r="BE44" i="10"/>
  <c r="BG44" i="10" s="1"/>
  <c r="BE40" i="10"/>
  <c r="BG40" i="10" s="1"/>
  <c r="BE36" i="10"/>
  <c r="BG36" i="10" s="1"/>
  <c r="BE32" i="10"/>
  <c r="BG32" i="10" s="1"/>
  <c r="BE28" i="10"/>
  <c r="BG28" i="10" s="1"/>
  <c r="BE24" i="10"/>
  <c r="BG24" i="10" s="1"/>
  <c r="BE20" i="10"/>
  <c r="BG20" i="10" s="1"/>
  <c r="BE16" i="10"/>
  <c r="BG16" i="10" s="1"/>
  <c r="BE12" i="10"/>
  <c r="BG12" i="10" s="1"/>
  <c r="BE8" i="10"/>
  <c r="BG8" i="10" s="1"/>
  <c r="BE99" i="10"/>
  <c r="BG99" i="10" s="1"/>
  <c r="BE67" i="10"/>
  <c r="BG67" i="10" s="1"/>
  <c r="BE37" i="10"/>
  <c r="BG37" i="10" s="1"/>
  <c r="BE13" i="10"/>
  <c r="BG13" i="10" s="1"/>
  <c r="BE97" i="10"/>
  <c r="BG97" i="10" s="1"/>
  <c r="BE87" i="10"/>
  <c r="BG87" i="10" s="1"/>
  <c r="BE77" i="10"/>
  <c r="BG77" i="10" s="1"/>
  <c r="BE65" i="10"/>
  <c r="BG65" i="10" s="1"/>
  <c r="BE55" i="10"/>
  <c r="BG55" i="10" s="1"/>
  <c r="BE43" i="10"/>
  <c r="BG43" i="10" s="1"/>
  <c r="BE33" i="10"/>
  <c r="BG33" i="10" s="1"/>
  <c r="BE23" i="10"/>
  <c r="BG23" i="10" s="1"/>
  <c r="BE98" i="10"/>
  <c r="BG98" i="10" s="1"/>
  <c r="BE90" i="10"/>
  <c r="BG90" i="10" s="1"/>
  <c r="BE82" i="10"/>
  <c r="BG82" i="10" s="1"/>
  <c r="BE74" i="10"/>
  <c r="BG74" i="10" s="1"/>
  <c r="BE66" i="10"/>
  <c r="BG66" i="10" s="1"/>
  <c r="BE58" i="10"/>
  <c r="BG58" i="10" s="1"/>
  <c r="BE50" i="10"/>
  <c r="BG50" i="10" s="1"/>
  <c r="BE42" i="10"/>
  <c r="BG42" i="10" s="1"/>
  <c r="BE34" i="10"/>
  <c r="BG34" i="10" s="1"/>
  <c r="BE26" i="10"/>
  <c r="BG26" i="10" s="1"/>
  <c r="BE18" i="10"/>
  <c r="BG18" i="10" s="1"/>
  <c r="BE10" i="10"/>
  <c r="BG10" i="10" s="1"/>
  <c r="BE53" i="10"/>
  <c r="BG53" i="10" s="1"/>
  <c r="BE9" i="10"/>
  <c r="BG9" i="10" s="1"/>
  <c r="BE81" i="10"/>
  <c r="BG81" i="10" s="1"/>
  <c r="BE59" i="10"/>
  <c r="BG59" i="10" s="1"/>
  <c r="BE39" i="10"/>
  <c r="BG39" i="10" s="1"/>
  <c r="BE17" i="10"/>
  <c r="BG17" i="10" s="1"/>
  <c r="BE86" i="10"/>
  <c r="BG86" i="10" s="1"/>
  <c r="BE70" i="10"/>
  <c r="BG70" i="10" s="1"/>
  <c r="BE54" i="10"/>
  <c r="BG54" i="10" s="1"/>
  <c r="BE38" i="10"/>
  <c r="BG38" i="10" s="1"/>
  <c r="BE22" i="10"/>
  <c r="BG22" i="10" s="1"/>
  <c r="BE6" i="10"/>
  <c r="BG6" i="10" s="1"/>
  <c r="BE85" i="10"/>
  <c r="BG85" i="10" s="1"/>
  <c r="BE19" i="10"/>
  <c r="BG19" i="10" s="1"/>
  <c r="BE93" i="10"/>
  <c r="BG93" i="10" s="1"/>
  <c r="BE71" i="10"/>
  <c r="BG71" i="10" s="1"/>
  <c r="BE49" i="10"/>
  <c r="BG49" i="10" s="1"/>
  <c r="BE29" i="10"/>
  <c r="BG29" i="10" s="1"/>
  <c r="BE94" i="10"/>
  <c r="BG94" i="10" s="1"/>
  <c r="BE78" i="10"/>
  <c r="BG78" i="10" s="1"/>
  <c r="BE62" i="10"/>
  <c r="BG62" i="10" s="1"/>
  <c r="BE46" i="10"/>
  <c r="BG46" i="10" s="1"/>
  <c r="BE30" i="10"/>
  <c r="BG30" i="10" s="1"/>
  <c r="BE14" i="10"/>
  <c r="BG14" i="10" s="1"/>
  <c r="BF33" i="10"/>
  <c r="BF94" i="10"/>
  <c r="BF57" i="10"/>
  <c r="BF49" i="10"/>
  <c r="BF41" i="10"/>
  <c r="BF30" i="10"/>
  <c r="BF28" i="10"/>
  <c r="BF22" i="10"/>
  <c r="BF18" i="10"/>
  <c r="BF14" i="10"/>
  <c r="BF10" i="10"/>
  <c r="BF6" i="10"/>
  <c r="BF85" i="10"/>
  <c r="BF82" i="10"/>
  <c r="BF72" i="10"/>
  <c r="BF53" i="10"/>
  <c r="BF7" i="10"/>
  <c r="BF97" i="10"/>
  <c r="BF92" i="10"/>
  <c r="BF81" i="10"/>
  <c r="BF76" i="10"/>
  <c r="BF65" i="10"/>
  <c r="BF58" i="10"/>
  <c r="BF52" i="10"/>
  <c r="BF47" i="10"/>
  <c r="BF44" i="10"/>
  <c r="BF42" i="10"/>
  <c r="BF36" i="10"/>
  <c r="BF29" i="10"/>
  <c r="BF21" i="10"/>
  <c r="BF89" i="10"/>
  <c r="BF37" i="10"/>
  <c r="BF25" i="10"/>
  <c r="BF17" i="10"/>
  <c r="BF9" i="10"/>
  <c r="BF73" i="10"/>
  <c r="BF62" i="10"/>
  <c r="BF51" i="10"/>
  <c r="BF40" i="10"/>
</calcChain>
</file>

<file path=xl/sharedStrings.xml><?xml version="1.0" encoding="utf-8"?>
<sst xmlns="http://schemas.openxmlformats.org/spreadsheetml/2006/main" count="587" uniqueCount="405">
  <si>
    <t>Maximum winding temperature is 155°C.  Thermal protection device may be at a lower temperature.</t>
  </si>
  <si>
    <t>These ratings are valid for Parker Hannifin Drives.  Other drives may not achieve the same ratings.</t>
  </si>
  <si>
    <t>±10%</t>
  </si>
  <si>
    <t>±30% @ 1kHz</t>
  </si>
  <si>
    <t>Reference only</t>
  </si>
  <si>
    <t>The winding temperature at the motor rated speed may be lower than the winding maximum due to feedback or amplifier limitations</t>
  </si>
  <si>
    <t>Measured Lead to Lead</t>
  </si>
  <si>
    <t>See motor rating infromation for motor detail on the assumed thermal situation of the motor</t>
  </si>
  <si>
    <t>The Gearbox may have additional and significant losses, especially at high speed opration. The motor may need to be derated by increase the assumed ambient temperature or reducing the thermal resistance of the motor.</t>
  </si>
  <si>
    <t>Reference Only.</t>
  </si>
  <si>
    <t>Refer to the product literature for IP rating.</t>
  </si>
  <si>
    <t>Rating data is calculated at the maximum continous output power point.</t>
  </si>
  <si>
    <t>Gearbox Only</t>
  </si>
  <si>
    <t>Gearbox Page Footnotes:</t>
  </si>
  <si>
    <t>Motor Page Footnotes:</t>
  </si>
  <si>
    <t xml:space="preserve">PLEASE NOTE: The information contained in this document may be confidential or privileged. It only should be used or disseminated for the purpose of conducting business with Parker. </t>
  </si>
  <si>
    <t>This document contains a simulation of a motor and amplifier and possibly other components.  The simulation is for reference only.  Performance can not be guaranteed until tested and verified. Results can vary significantly if the assumption made while preparing the simulation do not match the real system.  Such things as duty cycle, ambient temperatures, and heat management can cause significant derating.</t>
  </si>
  <si>
    <t>Application Notes:</t>
  </si>
  <si>
    <t>Prepared By:</t>
  </si>
  <si>
    <t>Errors and Warnings:</t>
  </si>
  <si>
    <t>kHz</t>
  </si>
  <si>
    <t>Amplifier Switching Frequency</t>
  </si>
  <si>
    <t>Ipa(rms)</t>
  </si>
  <si>
    <t>Amplifier Peak Current</t>
  </si>
  <si>
    <t>Ica(rms)</t>
  </si>
  <si>
    <t>Amplifier Continuous Current</t>
  </si>
  <si>
    <t>Volts DC</t>
  </si>
  <si>
    <t>Amplifier Bus Voltage</t>
  </si>
  <si>
    <t>IP40 - IP65</t>
  </si>
  <si>
    <t>IP</t>
  </si>
  <si>
    <t>Environmental Protection Rating</t>
  </si>
  <si>
    <t>Winding Number</t>
  </si>
  <si>
    <t>Output Power is Electrical Power for negative speeds</t>
  </si>
  <si>
    <t>H</t>
  </si>
  <si>
    <t>UL class</t>
  </si>
  <si>
    <t>F</t>
  </si>
  <si>
    <t>Motor UL Class</t>
  </si>
  <si>
    <t>Output Power is Shaft Power for positive speeds</t>
  </si>
  <si>
    <t>lb</t>
  </si>
  <si>
    <t>weight</t>
  </si>
  <si>
    <t>6,4</t>
  </si>
  <si>
    <t>Motor Weight</t>
  </si>
  <si>
    <t>This chart contains the motor only efficiency.</t>
  </si>
  <si>
    <t>Solid Red is the Peak Resistive Dissipation</t>
  </si>
  <si>
    <t>kg</t>
  </si>
  <si>
    <t>Efficiency is Volts*Amp/Torque*Speed for Negative Speed</t>
  </si>
  <si>
    <t>Dotted Red is the Continuous Resistive Dissipation</t>
  </si>
  <si>
    <t>#poles</t>
  </si>
  <si>
    <t>Np</t>
  </si>
  <si>
    <t>Number of rotor magnet poles</t>
  </si>
  <si>
    <t>Efficiency is Torque*Speed/Volts*Amp for Positive Speed</t>
  </si>
  <si>
    <t>The orange line is the moving losses is the motor</t>
  </si>
  <si>
    <t>in-lb-sec2</t>
  </si>
  <si>
    <t>J</t>
  </si>
  <si>
    <t>Rotor Inertia</t>
  </si>
  <si>
    <t>Blue Solid is the Peak Efficiency</t>
  </si>
  <si>
    <t>Blue Solid is the Peak Output Power</t>
  </si>
  <si>
    <t>Blue Solid is the Peak Current</t>
  </si>
  <si>
    <t>Blue Solid is the Peak Torque</t>
  </si>
  <si>
    <t>kg-m2</t>
  </si>
  <si>
    <t>Blue Dotted is the Continuous Efficiency</t>
  </si>
  <si>
    <t>Blue Dotted is the Continuous Output Power</t>
  </si>
  <si>
    <t>Blue Dotted is the Continuous Current</t>
  </si>
  <si>
    <t>Blue Dotted is the Continuous Torque</t>
  </si>
  <si>
    <t>Nm</t>
  </si>
  <si>
    <t>Tf</t>
  </si>
  <si>
    <t>6,5</t>
  </si>
  <si>
    <t>Rotor Shaft Dynamic Friction</t>
  </si>
  <si>
    <t>Nm/krpm</t>
  </si>
  <si>
    <t>B</t>
  </si>
  <si>
    <t>Rotor Shaft Viscous Damping</t>
  </si>
  <si>
    <t>minutes</t>
  </si>
  <si>
    <r>
      <t>t</t>
    </r>
    <r>
      <rPr>
        <sz val="8"/>
        <rFont val="Arial"/>
        <family val="2"/>
      </rPr>
      <t>thw</t>
    </r>
  </si>
  <si>
    <t>Winding Thermal Time Constant</t>
  </si>
  <si>
    <r>
      <t>t</t>
    </r>
    <r>
      <rPr>
        <sz val="8"/>
        <rFont val="Arial"/>
        <family val="2"/>
      </rPr>
      <t>thc</t>
    </r>
  </si>
  <si>
    <t>Motor Thermal Time Constant</t>
  </si>
  <si>
    <t>°C</t>
  </si>
  <si>
    <t>Twr</t>
  </si>
  <si>
    <t>Winding Temp at Rating</t>
  </si>
  <si>
    <t>Tmax</t>
  </si>
  <si>
    <t>Max Winding Temp</t>
  </si>
  <si>
    <t>Tamb</t>
  </si>
  <si>
    <t>Ambient Temp at Rating</t>
  </si>
  <si>
    <t>Chart units:</t>
  </si>
  <si>
    <t>Chart Units:</t>
  </si>
  <si>
    <t xml:space="preserve">Chart Units: </t>
  </si>
  <si>
    <t>°C/W</t>
  </si>
  <si>
    <t>Rthw-c</t>
  </si>
  <si>
    <t>Winding-Case Thermal Resist</t>
  </si>
  <si>
    <t>Rthw-a</t>
  </si>
  <si>
    <t>Winding-Amb Thermal Resist</t>
  </si>
  <si>
    <t>VAC</t>
  </si>
  <si>
    <t>Vs</t>
  </si>
  <si>
    <t>Max AC Voltage</t>
  </si>
  <si>
    <t>VDCmax</t>
  </si>
  <si>
    <t>Vmbus</t>
  </si>
  <si>
    <t>Max DC bus Voltage</t>
  </si>
  <si>
    <t>mH</t>
  </si>
  <si>
    <t>L</t>
  </si>
  <si>
    <t>5,9</t>
  </si>
  <si>
    <t>Inductance</t>
  </si>
  <si>
    <t>ohm</t>
  </si>
  <si>
    <t>R</t>
  </si>
  <si>
    <t>4,9</t>
  </si>
  <si>
    <t>Resistance</t>
  </si>
  <si>
    <t>Oz*in/Amp DC</t>
  </si>
  <si>
    <t>Kt(trap)</t>
  </si>
  <si>
    <t>Torque Constant</t>
  </si>
  <si>
    <t>Nm/Arms</t>
  </si>
  <si>
    <t>Kt(sine)</t>
  </si>
  <si>
    <t>Vrms/krpm</t>
  </si>
  <si>
    <t>Ke</t>
  </si>
  <si>
    <t>Voltage Constant</t>
  </si>
  <si>
    <t>V/rad/s</t>
  </si>
  <si>
    <t>Kb</t>
  </si>
  <si>
    <t>Arms</t>
  </si>
  <si>
    <t>Ir</t>
  </si>
  <si>
    <t>1,2,3,4</t>
  </si>
  <si>
    <t xml:space="preserve">Current at Rated Speed </t>
  </si>
  <si>
    <t>kW</t>
  </si>
  <si>
    <t>Pout</t>
  </si>
  <si>
    <t>Rated Shaft Output Power</t>
  </si>
  <si>
    <t>oz-in</t>
  </si>
  <si>
    <t>Tr</t>
  </si>
  <si>
    <t>Rated Torque</t>
  </si>
  <si>
    <t>in-lb</t>
  </si>
  <si>
    <t>rpm</t>
  </si>
  <si>
    <t>Sr</t>
  </si>
  <si>
    <t>1,2,3</t>
  </si>
  <si>
    <t>Rated Speed</t>
  </si>
  <si>
    <t>Amps DC</t>
  </si>
  <si>
    <t>Ipk(trap)</t>
  </si>
  <si>
    <t>Peak Current</t>
  </si>
  <si>
    <t>Ipk(rms)</t>
  </si>
  <si>
    <t>Tpk</t>
  </si>
  <si>
    <t xml:space="preserve">Peak Torque </t>
  </si>
  <si>
    <t>Ics(trap)</t>
  </si>
  <si>
    <t>Stall Current Continuous</t>
  </si>
  <si>
    <t>Ics(rms)</t>
  </si>
  <si>
    <t>Tcs</t>
  </si>
  <si>
    <t>Stall Torque Continuous</t>
  </si>
  <si>
    <t>Torque Speed Data Page Name:</t>
  </si>
  <si>
    <t>Value</t>
  </si>
  <si>
    <t>Units</t>
  </si>
  <si>
    <t>Symbol</t>
  </si>
  <si>
    <t>Notes</t>
  </si>
  <si>
    <t>Description</t>
  </si>
  <si>
    <t>Motor Thermal Test Condition</t>
  </si>
  <si>
    <t>Amplifier Model Number</t>
  </si>
  <si>
    <t>Motor Model Number</t>
  </si>
  <si>
    <t>Combined Motor and Amplifier Specification Sheet</t>
  </si>
  <si>
    <t>n/a</t>
  </si>
  <si>
    <t>AppNotes</t>
  </si>
  <si>
    <t>User</t>
  </si>
  <si>
    <t>Time</t>
  </si>
  <si>
    <t>Date</t>
  </si>
  <si>
    <t>Ver 6.03.006 Servo Motor Torque-Speed and Thermal Model by SRH</t>
  </si>
  <si>
    <t>Volt Limit Type</t>
  </si>
  <si>
    <t>Warnings and Error Messages</t>
  </si>
  <si>
    <t>N/A</t>
  </si>
  <si>
    <t>The Max time at 3x Rated Current Starting at 60c</t>
  </si>
  <si>
    <t>Seconds</t>
  </si>
  <si>
    <t>Not Implemented</t>
  </si>
  <si>
    <t>The Max time at 2x Rated Current Starting at 60c</t>
  </si>
  <si>
    <t>Temp of Case at Rated TS</t>
  </si>
  <si>
    <t>deg C</t>
  </si>
  <si>
    <t>Temp of Winding at Rated TS</t>
  </si>
  <si>
    <t>Rated Current</t>
  </si>
  <si>
    <t>Amps Sine Peak</t>
  </si>
  <si>
    <t>Rated Power</t>
  </si>
  <si>
    <t>Watts</t>
  </si>
  <si>
    <t>Oz*in</t>
  </si>
  <si>
    <t>RPM</t>
  </si>
  <si>
    <t>Amps Six State</t>
  </si>
  <si>
    <t>Cont Stall Current</t>
  </si>
  <si>
    <t>Peak Torque</t>
  </si>
  <si>
    <t>Stall Torque</t>
  </si>
  <si>
    <t>oz*in*sec^2</t>
  </si>
  <si>
    <t>Lbs</t>
  </si>
  <si>
    <t>Motor Only Weight</t>
  </si>
  <si>
    <t>Winding time constant</t>
  </si>
  <si>
    <t>Motor time constant</t>
  </si>
  <si>
    <t>The Scaled Wire Bundle Orientation</t>
  </si>
  <si>
    <t>unitless</t>
  </si>
  <si>
    <t>Losses in the case due to the fail-safe Brake</t>
  </si>
  <si>
    <t>The Scaled Phase Orientation</t>
  </si>
  <si>
    <t>The Ration of Peak to Cont Torque</t>
  </si>
  <si>
    <t>The Scaled Length of the Endturn</t>
  </si>
  <si>
    <t>Determines if the friction and damping derates the motor</t>
  </si>
  <si>
    <t>The Scaled Length of the stator Stack</t>
  </si>
  <si>
    <t>Number of magnet poles on the rotor</t>
  </si>
  <si>
    <t>The Scaled number of wire in hand for the winding</t>
  </si>
  <si>
    <t>The Scaled Number of wire insulation Layers</t>
  </si>
  <si>
    <t>Ambient Air Temp around motor.</t>
  </si>
  <si>
    <t>Deg C</t>
  </si>
  <si>
    <t>The Scaled Slot Fill Calculation</t>
  </si>
  <si>
    <t>unitLess</t>
  </si>
  <si>
    <t>Rated Winding Temperature</t>
  </si>
  <si>
    <t>The Scaled Effective Wire Guage</t>
  </si>
  <si>
    <t>AWG</t>
  </si>
  <si>
    <t>Max Winding Temperature</t>
  </si>
  <si>
    <t>The Scaled Number of turns of wire per Phase</t>
  </si>
  <si>
    <t>Rotor Dynamic Friction</t>
  </si>
  <si>
    <t>oz*in</t>
  </si>
  <si>
    <t>The Original Wire Bundle Orientation</t>
  </si>
  <si>
    <t>Rotor Viscous Damping</t>
  </si>
  <si>
    <t>oz*in/KRPM</t>
  </si>
  <si>
    <t>The Original Phase Orientation</t>
  </si>
  <si>
    <t>Thermal Resistance from wind to case</t>
  </si>
  <si>
    <t>deg C/Watt</t>
  </si>
  <si>
    <t>The Original Length of the Endturn</t>
  </si>
  <si>
    <t>Thermal Resistance from Wind to Amb</t>
  </si>
  <si>
    <t>The Original Length of the stator Stack</t>
  </si>
  <si>
    <t>Motor maximum rated voltage</t>
  </si>
  <si>
    <t>Volts</t>
  </si>
  <si>
    <t>The Original number of wire in hand for the winding</t>
  </si>
  <si>
    <t>Motor rotor Inertia</t>
  </si>
  <si>
    <t>The Original number of wire insulation Layers</t>
  </si>
  <si>
    <t>Minimum Lead to lead Inductance of the motor</t>
  </si>
  <si>
    <t>Henries</t>
  </si>
  <si>
    <t>The Original Slot Fill Calculation</t>
  </si>
  <si>
    <t>The Original Motor Name</t>
  </si>
  <si>
    <t>text</t>
  </si>
  <si>
    <t>Cold lead to lead Resistance of the motor</t>
  </si>
  <si>
    <t>Ohms</t>
  </si>
  <si>
    <t>The Original Effective Wire Guage</t>
  </si>
  <si>
    <t>Motor lead to lead voltage constant</t>
  </si>
  <si>
    <t>Volts/Rad/s</t>
  </si>
  <si>
    <t>The Original Number of turns of wire per Phase</t>
  </si>
  <si>
    <t>Orginal Values do not apply if Scaled Values are Present</t>
  </si>
  <si>
    <t>Motor Description</t>
  </si>
  <si>
    <t xml:space="preserve">Units </t>
  </si>
  <si>
    <t xml:space="preserve">Description </t>
  </si>
  <si>
    <t>Winding Data</t>
  </si>
  <si>
    <t>Raw Motor Information</t>
  </si>
  <si>
    <t>Peak Amplifier Current</t>
  </si>
  <si>
    <t>Amps Peak of Sine</t>
  </si>
  <si>
    <t>Continous Amplifier Current</t>
  </si>
  <si>
    <t>Amplifier Switching Freqency</t>
  </si>
  <si>
    <t>Hz</t>
  </si>
  <si>
    <t>Amplifier Max Bus Voltage</t>
  </si>
  <si>
    <t xml:space="preserve"> </t>
  </si>
  <si>
    <t>Raw Drive Information</t>
  </si>
  <si>
    <t>Main Chart Title</t>
  </si>
  <si>
    <t>Note: Use the Macro buttons on the Spec page to change the plot units.</t>
  </si>
  <si>
    <t>Rads/s</t>
  </si>
  <si>
    <t>RPS</t>
  </si>
  <si>
    <t>N*m</t>
  </si>
  <si>
    <t>Horse Power</t>
  </si>
  <si>
    <t>Amps Six-State</t>
  </si>
  <si>
    <t>ft*lb</t>
  </si>
  <si>
    <t>KiloWatts</t>
  </si>
  <si>
    <t>Amps RMS</t>
  </si>
  <si>
    <t>in*lbs</t>
  </si>
  <si>
    <t>Conv Value</t>
  </si>
  <si>
    <t>Unit Selection</t>
  </si>
  <si>
    <t>Unit Selection Information</t>
  </si>
  <si>
    <t>X-Axis</t>
  </si>
  <si>
    <t>Percent</t>
  </si>
  <si>
    <t>Cont Current</t>
  </si>
  <si>
    <t>Cont Torque</t>
  </si>
  <si>
    <t>Peak Resistive Losses</t>
  </si>
  <si>
    <t>Cont Resistive Loses</t>
  </si>
  <si>
    <t>Y-Axis Lable</t>
  </si>
  <si>
    <t>Moving Losses</t>
  </si>
  <si>
    <t>Moving Losses (Tf+B*Spd)*spd</t>
  </si>
  <si>
    <t>Peak Efficiency</t>
  </si>
  <si>
    <t>Cont Efficiency</t>
  </si>
  <si>
    <t>Peak Power</t>
  </si>
  <si>
    <t>Cont Power</t>
  </si>
  <si>
    <t xml:space="preserve">Cont Power </t>
  </si>
  <si>
    <t>Peak Torq</t>
  </si>
  <si>
    <t>Cont Torq</t>
  </si>
  <si>
    <t>Speed</t>
  </si>
  <si>
    <t>Amps Peak Sine</t>
  </si>
  <si>
    <t>Amps Peak of sine</t>
  </si>
  <si>
    <t>Lable</t>
  </si>
  <si>
    <t>per oz*in</t>
  </si>
  <si>
    <t>Conversion</t>
  </si>
  <si>
    <t>per Watt</t>
  </si>
  <si>
    <t>per Amps Peak of Sine</t>
  </si>
  <si>
    <t>per RPM</t>
  </si>
  <si>
    <t>Torque  Speed Curves</t>
  </si>
  <si>
    <t>Note:  The lowest efficiency color range actually starts at 0 efficiency.</t>
  </si>
  <si>
    <t>Create a new countour plot manually using your version of Excel.</t>
  </si>
  <si>
    <t xml:space="preserve">If the efficiency data was exported then the data is contained to the rigth. </t>
  </si>
  <si>
    <t>Sorry, due to a contour plot incompatibiliy between Office 2003 and Office 2007 the chart has been deleted.</t>
  </si>
  <si>
    <t>Speed(RPM)</t>
  </si>
  <si>
    <t>Torque(Nm)</t>
  </si>
  <si>
    <t>TSData1</t>
  </si>
  <si>
    <t>Digital</t>
  </si>
  <si>
    <t>Short Circuit analysis: These calculations assume all of the phases are shorted to ground</t>
  </si>
  <si>
    <t>Rotor speed at the phase break frequency</t>
  </si>
  <si>
    <t>rads/s</t>
  </si>
  <si>
    <t>Short Circuit Current</t>
  </si>
  <si>
    <t>N*m/Amps SS</t>
  </si>
  <si>
    <t>Peak Short Circuit Torque</t>
  </si>
  <si>
    <t>Current at Peak Drag Torque</t>
  </si>
  <si>
    <t>Idirect Max</t>
  </si>
  <si>
    <t>Phase Adv Ang w Icont (col D)</t>
  </si>
  <si>
    <t>Phase Adv Ang w I peak (col F)</t>
  </si>
  <si>
    <t>Degrees</t>
  </si>
  <si>
    <t>Bus Voltage</t>
  </si>
  <si>
    <t>Vdc</t>
  </si>
  <si>
    <t>Lump Cir Volts Icont</t>
  </si>
  <si>
    <t>Lump Cir Volts Ipeak</t>
  </si>
  <si>
    <t>BEMF</t>
  </si>
  <si>
    <t>FEA Volts w Icont</t>
  </si>
  <si>
    <t>FEA Volts w Ipeak</t>
  </si>
  <si>
    <t>Vpeaksin</t>
  </si>
  <si>
    <t>Blue Dotted is the Adv Angle w Cont Cur</t>
  </si>
  <si>
    <t>Blue Solid is the Adv Angle w Peak Cur</t>
  </si>
  <si>
    <t>Blue Dotted is the Motor Volts w Cont Cur</t>
  </si>
  <si>
    <t>Blue Solid is the Motor Votls w Peak Cur</t>
  </si>
  <si>
    <t>Red is Motor Back EMF</t>
  </si>
  <si>
    <t>Green is the bus Voltage</t>
  </si>
  <si>
    <t>Orange Dotted is FEA Mtr Volts w Cont I</t>
  </si>
  <si>
    <t>Orange Solid is FEA Mtr Volts w Peak I</t>
  </si>
  <si>
    <t>Refer to the productliterature for IP rating</t>
  </si>
  <si>
    <t>Assumes motor is mounted to an aluminum plate with dimensions of 10" X 10" X 1/4" aluminum plate for 70mm motor frames or smaller, 12" X 12" X 1/2" for 92mm to 115mm, 12" X 12" X 1" for 142mm to 230mm motor frames, and 21"x21"x1 for 270mm to 320mm motor frames</t>
  </si>
  <si>
    <t>W00000</t>
  </si>
  <si>
    <t>Maximum Lead to lead Inductance of the motor</t>
  </si>
  <si>
    <t>750.0</t>
  </si>
  <si>
    <t>180.0</t>
  </si>
  <si>
    <t>140.0</t>
  </si>
  <si>
    <t>Maximum Shaft Speed Mechanical Limit</t>
  </si>
  <si>
    <t>12.00</t>
  </si>
  <si>
    <t>1.000</t>
  </si>
  <si>
    <t>0.000</t>
  </si>
  <si>
    <t>External Water Cooling</t>
  </si>
  <si>
    <t>Additional Weight if Equipped with Brake</t>
  </si>
  <si>
    <t>Additional Inertia if Equipped with Brake</t>
  </si>
  <si>
    <t xml:space="preserve">Rotor Speed at Peak Short Circuit Drag Torque, @Twr </t>
  </si>
  <si>
    <t xml:space="preserve"> RPM</t>
  </si>
  <si>
    <t xml:space="preserve">Max Short Circuit Current, @Twr </t>
  </si>
  <si>
    <t xml:space="preserve"> Amps RMS</t>
  </si>
  <si>
    <t xml:space="preserve">Peak Short Circuit Drag Torque, @Twr </t>
  </si>
  <si>
    <t xml:space="preserve"> Nm</t>
  </si>
  <si>
    <t xml:space="preserve">Current at Peak Drag Torque, @Twr </t>
  </si>
  <si>
    <t>2</t>
  </si>
  <si>
    <t>1</t>
  </si>
  <si>
    <t>5.000</t>
  </si>
  <si>
    <t>10.00</t>
  </si>
  <si>
    <t>Amplifier Min Bus Voltage</t>
  </si>
  <si>
    <t>Battery Peak current</t>
  </si>
  <si>
    <t>Battery cont current</t>
  </si>
  <si>
    <t>Battery Peak Power</t>
  </si>
  <si>
    <t>Battery cont power</t>
  </si>
  <si>
    <t>Battery Cont Power Lim, Torque</t>
  </si>
  <si>
    <t xml:space="preserve">Battery Peak Power lim, Torque </t>
  </si>
  <si>
    <t>Battery Cont Current:</t>
  </si>
  <si>
    <t>Battery Peak Current:</t>
  </si>
  <si>
    <t>Amps</t>
  </si>
  <si>
    <t>Amp E</t>
  </si>
  <si>
    <t>Efficiency Map</t>
  </si>
  <si>
    <t>Iq Map</t>
  </si>
  <si>
    <t>Id Map</t>
  </si>
  <si>
    <t>Losses Map</t>
  </si>
  <si>
    <t>Watts Total</t>
  </si>
  <si>
    <t>GVK142-050M6</t>
  </si>
  <si>
    <t>0.1978</t>
  </si>
  <si>
    <t>0.03994</t>
  </si>
  <si>
    <t>0.000165</t>
  </si>
  <si>
    <t>0.000188</t>
  </si>
  <si>
    <t>0.3087</t>
  </si>
  <si>
    <t>0.1933</t>
  </si>
  <si>
    <t>0.1356</t>
  </si>
  <si>
    <t>3.214</t>
  </si>
  <si>
    <t>6.896</t>
  </si>
  <si>
    <t>40.00</t>
  </si>
  <si>
    <t>1000000</t>
  </si>
  <si>
    <t>420.0</t>
  </si>
  <si>
    <t>100.2</t>
  </si>
  <si>
    <t>8.822</t>
  </si>
  <si>
    <t>2627</t>
  </si>
  <si>
    <t>7047</t>
  </si>
  <si>
    <t>94.44</t>
  </si>
  <si>
    <t>472.2</t>
  </si>
  <si>
    <t>12659</t>
  </si>
  <si>
    <t>2167</t>
  </si>
  <si>
    <t>20291</t>
  </si>
  <si>
    <t>93.97</t>
  </si>
  <si>
    <t>140</t>
  </si>
  <si>
    <t>87.94</t>
  </si>
  <si>
    <t xml:space="preserve"> Information - Magnetic Saturation model is enabled for this simulation_x000D_
 Information - A non-standard method of cooling the motor is in use for this simulation_x000D_
 Warning - Motor is water cooled and ambient temperature is below 50_x000D_
 Warning - Open circuit motor voltage at maximum speed is greater than amplifier bus voltage_x000D_
 Information - Motor Circuit model with Simply losses is Enabled_x000D_
 Information - Simulation Check Okay._x000D_
</t>
  </si>
  <si>
    <t>October 24, 2016</t>
  </si>
  <si>
    <t>17:21:45</t>
  </si>
  <si>
    <t>Kevin Holloway</t>
  </si>
  <si>
    <t>77.11</t>
  </si>
  <si>
    <t>522.9</t>
  </si>
  <si>
    <t>152.3</t>
  </si>
  <si>
    <t>18.48</t>
  </si>
  <si>
    <t>107.7</t>
  </si>
  <si>
    <t>28.50</t>
  </si>
  <si>
    <t>18.00</t>
  </si>
  <si>
    <t>0.492194057938774</t>
  </si>
  <si>
    <t>1.968</t>
  </si>
  <si>
    <t>1.527</t>
  </si>
  <si>
    <t>Wye</t>
  </si>
  <si>
    <t>P6</t>
  </si>
  <si>
    <t>28.5</t>
  </si>
  <si>
    <t>18</t>
  </si>
  <si>
    <t>0</t>
  </si>
  <si>
    <t>GenericAmp</t>
  </si>
  <si>
    <t>300.0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</si>
</sst>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
    <numFmt numFmtId="165" formatCode="0.0000"/>
    <numFmt numFmtId="166" formatCode="0.000"/>
    <numFmt numFmtId="167" formatCode="0.000E+00"/>
  </numFmts>
  <fonts count="10" x14ac:knownFonts="1">
    <font>
      <sz val="10"/>
      <name val="Arial"/>
    </font>
    <font>
      <b/>
      <sz val="10"/>
      <name val="Arial"/>
      <family val="2"/>
    </font>
    <font>
      <sz val="10"/>
      <name val="Arial"/>
    </font>
    <font>
      <sz val="8"/>
      <name val="Arial"/>
    </font>
    <font>
      <sz val="12"/>
      <name val="Arial"/>
      <family val="2"/>
    </font>
    <font>
      <sz val="8"/>
      <name val="Arial"/>
      <family val="2"/>
    </font>
    <font>
      <b/>
      <sz val="12"/>
      <name val="Arial"/>
      <family val="2"/>
    </font>
    <font>
      <sz val="14"/>
      <name val="Arial"/>
      <family val="2"/>
    </font>
    <font>
      <sz val="10"/>
      <name val="Arial"/>
      <family val="2"/>
    </font>
    <font>
      <sz val="10"/>
      <color theme="0" tint="-4.9989318521683403E-2"/>
      <name val="Arial"/>
      <family val="2"/>
    </font>
  </fonts>
  <fills count="17">
    <fill>
      <patternFill patternType="none"/>
    </fill>
    <fill>
      <patternFill patternType="gray125"/>
    </fill>
    <fill>
      <patternFill patternType="solid">
        <fgColor indexed="16"/>
        <bgColor indexed="64"/>
      </patternFill>
    </fill>
    <fill>
      <patternFill patternType="solid">
        <fgColor indexed="52"/>
        <bgColor indexed="64"/>
      </patternFill>
    </fill>
    <fill>
      <patternFill patternType="solid">
        <fgColor indexed="48"/>
        <bgColor indexed="64"/>
      </patternFill>
    </fill>
    <fill>
      <patternFill patternType="solid">
        <fgColor indexed="22"/>
        <bgColor indexed="64"/>
      </patternFill>
    </fill>
    <fill>
      <patternFill patternType="solid">
        <fgColor indexed="47"/>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9" tint="-0.249977111117893"/>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4" tint="0.59999389629810485"/>
        <bgColor indexed="64"/>
      </patternFill>
    </fill>
  </fills>
  <borders count="46">
    <border>
      <left/>
      <right/>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s>
  <cellStyleXfs count="1">
    <xf numFmtId="0" fontId="0" fillId="0" borderId="0"/>
  </cellStyleXfs>
  <cellXfs count="193">
    <xf numFmtId="0" fontId="0" fillId="0" borderId="0" xfId="0"/>
    <xf numFmtId="0" fontId="0" fillId="0" borderId="1" xfId="0" applyBorder="1"/>
    <xf numFmtId="0" fontId="0" fillId="0" borderId="2" xfId="0" applyBorder="1"/>
    <xf numFmtId="0" fontId="0" fillId="0" borderId="3" xfId="0" applyFill="1" applyBorder="1"/>
    <xf numFmtId="0" fontId="0" fillId="0" borderId="4" xfId="0" applyBorder="1" applyAlignment="1">
      <alignment wrapText="1"/>
    </xf>
    <xf numFmtId="0" fontId="0" fillId="0" borderId="2" xfId="0" applyFill="1" applyBorder="1"/>
    <xf numFmtId="0" fontId="0" fillId="0" borderId="5" xfId="0" applyFill="1" applyBorder="1" applyAlignment="1">
      <alignment wrapText="1"/>
    </xf>
    <xf numFmtId="0" fontId="1" fillId="0" borderId="6" xfId="0" applyFont="1" applyBorder="1"/>
    <xf numFmtId="0" fontId="0" fillId="0" borderId="0" xfId="0" applyAlignment="1">
      <alignment wrapText="1"/>
    </xf>
    <xf numFmtId="0" fontId="0" fillId="0" borderId="1" xfId="0" applyBorder="1" applyAlignment="1">
      <alignment wrapText="1"/>
    </xf>
    <xf numFmtId="0" fontId="0" fillId="0" borderId="3" xfId="0" applyBorder="1"/>
    <xf numFmtId="0" fontId="0" fillId="0" borderId="5" xfId="0" applyBorder="1" applyAlignment="1">
      <alignment wrapText="1"/>
    </xf>
    <xf numFmtId="0" fontId="1" fillId="0" borderId="0" xfId="0" applyFont="1" applyAlignment="1">
      <alignment wrapText="1"/>
    </xf>
    <xf numFmtId="0" fontId="0" fillId="0" borderId="0" xfId="0" applyAlignment="1">
      <alignment horizontal="left" vertical="top" wrapText="1"/>
    </xf>
    <xf numFmtId="0" fontId="1" fillId="0" borderId="0" xfId="0" applyFont="1"/>
    <xf numFmtId="0" fontId="0" fillId="0" borderId="7" xfId="0" applyBorder="1"/>
    <xf numFmtId="0" fontId="0" fillId="0" borderId="8" xfId="0" applyBorder="1"/>
    <xf numFmtId="21" fontId="0" fillId="0" borderId="9" xfId="0" applyNumberFormat="1" applyBorder="1" applyAlignment="1">
      <alignment horizontal="left"/>
    </xf>
    <xf numFmtId="14" fontId="0" fillId="0" borderId="9" xfId="0" applyNumberFormat="1" applyBorder="1" applyAlignment="1">
      <alignment horizontal="left"/>
    </xf>
    <xf numFmtId="0" fontId="0" fillId="0" borderId="9" xfId="0" applyBorder="1"/>
    <xf numFmtId="0" fontId="1" fillId="0" borderId="9" xfId="0" applyFont="1" applyBorder="1"/>
    <xf numFmtId="0" fontId="0" fillId="0" borderId="0" xfId="0" applyFill="1" applyBorder="1"/>
    <xf numFmtId="0" fontId="0" fillId="0" borderId="0" xfId="0" applyFill="1" applyBorder="1" applyAlignment="1">
      <alignment horizontal="left"/>
    </xf>
    <xf numFmtId="0" fontId="0" fillId="0" borderId="5" xfId="0" applyFill="1" applyBorder="1"/>
    <xf numFmtId="0" fontId="0" fillId="0" borderId="10" xfId="0" applyFill="1" applyBorder="1"/>
    <xf numFmtId="0" fontId="0" fillId="0" borderId="11" xfId="0" applyFill="1" applyBorder="1" applyAlignment="1">
      <alignment horizontal="left"/>
    </xf>
    <xf numFmtId="0" fontId="0" fillId="0" borderId="12" xfId="0" applyFill="1" applyBorder="1"/>
    <xf numFmtId="0" fontId="0" fillId="0" borderId="7" xfId="0" applyFill="1" applyBorder="1" applyAlignment="1">
      <alignment horizontal="left"/>
    </xf>
    <xf numFmtId="0" fontId="0" fillId="0" borderId="13" xfId="0" applyFill="1" applyBorder="1"/>
    <xf numFmtId="0" fontId="0" fillId="0" borderId="14" xfId="0" applyFill="1" applyBorder="1" applyAlignment="1">
      <alignment horizontal="left"/>
    </xf>
    <xf numFmtId="0" fontId="0" fillId="0" borderId="6" xfId="0" applyFill="1" applyBorder="1"/>
    <xf numFmtId="0" fontId="0" fillId="0" borderId="5" xfId="0" applyFill="1" applyBorder="1" applyAlignment="1">
      <alignment horizontal="right"/>
    </xf>
    <xf numFmtId="0" fontId="3" fillId="0" borderId="10" xfId="0" applyFont="1" applyFill="1" applyBorder="1" applyAlignment="1">
      <alignment horizontal="left"/>
    </xf>
    <xf numFmtId="0" fontId="0" fillId="0" borderId="4" xfId="0" applyFill="1" applyBorder="1" applyAlignment="1">
      <alignment horizontal="right"/>
    </xf>
    <xf numFmtId="0" fontId="3" fillId="0" borderId="12" xfId="0" applyFont="1" applyFill="1" applyBorder="1" applyAlignment="1">
      <alignment horizontal="left"/>
    </xf>
    <xf numFmtId="0" fontId="0" fillId="0" borderId="15" xfId="0" applyFill="1" applyBorder="1" applyAlignment="1">
      <alignment horizontal="right"/>
    </xf>
    <xf numFmtId="0" fontId="0" fillId="0" borderId="16" xfId="0" applyFill="1" applyBorder="1"/>
    <xf numFmtId="0" fontId="3" fillId="0" borderId="17" xfId="0" applyFont="1" applyFill="1" applyBorder="1" applyAlignment="1">
      <alignment horizontal="left"/>
    </xf>
    <xf numFmtId="0" fontId="0" fillId="0" borderId="18" xfId="0" applyFill="1" applyBorder="1"/>
    <xf numFmtId="0" fontId="3" fillId="0" borderId="7" xfId="0" applyFont="1" applyFill="1" applyBorder="1" applyAlignment="1">
      <alignment horizontal="left"/>
    </xf>
    <xf numFmtId="0" fontId="0" fillId="2" borderId="0" xfId="0" applyFill="1"/>
    <xf numFmtId="0" fontId="0" fillId="0" borderId="4" xfId="0" applyFill="1" applyBorder="1"/>
    <xf numFmtId="0" fontId="2" fillId="3" borderId="0" xfId="0" applyFont="1" applyFill="1"/>
    <xf numFmtId="0" fontId="0" fillId="4" borderId="0" xfId="0" applyFill="1"/>
    <xf numFmtId="0" fontId="0" fillId="5" borderId="19" xfId="0" applyFill="1" applyBorder="1"/>
    <xf numFmtId="0" fontId="0" fillId="5" borderId="20" xfId="0" applyFill="1" applyBorder="1"/>
    <xf numFmtId="0" fontId="0" fillId="5" borderId="21" xfId="0" applyFill="1" applyBorder="1"/>
    <xf numFmtId="0" fontId="0" fillId="5" borderId="22" xfId="0" applyFill="1" applyBorder="1"/>
    <xf numFmtId="0" fontId="0" fillId="5" borderId="0" xfId="0" applyFill="1" applyBorder="1"/>
    <xf numFmtId="0" fontId="0" fillId="5" borderId="23" xfId="0" applyFill="1" applyBorder="1"/>
    <xf numFmtId="0" fontId="4" fillId="0" borderId="12" xfId="0" applyFont="1" applyFill="1" applyBorder="1"/>
    <xf numFmtId="0" fontId="0" fillId="5" borderId="24" xfId="0" applyFill="1" applyBorder="1"/>
    <xf numFmtId="0" fontId="0" fillId="5" borderId="25" xfId="0" applyFill="1" applyBorder="1"/>
    <xf numFmtId="0" fontId="0" fillId="5" borderId="26" xfId="0" applyFill="1" applyBorder="1"/>
    <xf numFmtId="0" fontId="0" fillId="0" borderId="12" xfId="0" applyBorder="1"/>
    <xf numFmtId="0" fontId="0" fillId="0" borderId="0" xfId="0" applyFill="1"/>
    <xf numFmtId="0" fontId="0" fillId="0" borderId="0" xfId="0" applyBorder="1"/>
    <xf numFmtId="0" fontId="3" fillId="0" borderId="14" xfId="0" applyFont="1" applyFill="1" applyBorder="1" applyAlignment="1">
      <alignment horizontal="left"/>
    </xf>
    <xf numFmtId="0" fontId="6" fillId="6" borderId="27" xfId="0" applyFont="1" applyFill="1" applyBorder="1"/>
    <xf numFmtId="0" fontId="1" fillId="6" borderId="30" xfId="0" applyFont="1" applyFill="1" applyBorder="1"/>
    <xf numFmtId="0" fontId="1" fillId="6" borderId="32" xfId="0" applyFont="1" applyFill="1" applyBorder="1"/>
    <xf numFmtId="0" fontId="1" fillId="6" borderId="35" xfId="0" applyFont="1" applyFill="1" applyBorder="1"/>
    <xf numFmtId="21" fontId="0" fillId="0" borderId="12" xfId="0" applyNumberFormat="1" applyBorder="1"/>
    <xf numFmtId="15" fontId="0" fillId="0" borderId="12" xfId="0" applyNumberFormat="1" applyBorder="1"/>
    <xf numFmtId="0" fontId="0" fillId="0" borderId="4" xfId="0" applyBorder="1"/>
    <xf numFmtId="0" fontId="0" fillId="0" borderId="2" xfId="0" applyBorder="1" applyAlignment="1">
      <alignment wrapText="1"/>
    </xf>
    <xf numFmtId="2" fontId="0" fillId="0" borderId="2" xfId="0" applyNumberFormat="1" applyBorder="1"/>
    <xf numFmtId="0" fontId="0" fillId="0" borderId="5" xfId="0" applyBorder="1"/>
    <xf numFmtId="0" fontId="0" fillId="0" borderId="10" xfId="0" applyBorder="1"/>
    <xf numFmtId="0" fontId="0" fillId="0" borderId="13" xfId="0" applyBorder="1"/>
    <xf numFmtId="0" fontId="0" fillId="0" borderId="6" xfId="0" applyBorder="1"/>
    <xf numFmtId="165" fontId="0" fillId="0" borderId="2" xfId="0" applyNumberFormat="1" applyBorder="1"/>
    <xf numFmtId="0" fontId="0" fillId="0" borderId="36" xfId="0" applyBorder="1"/>
    <xf numFmtId="0" fontId="0" fillId="0" borderId="37" xfId="0" applyBorder="1"/>
    <xf numFmtId="0" fontId="1" fillId="0" borderId="38" xfId="0" applyFont="1" applyBorder="1"/>
    <xf numFmtId="0" fontId="0" fillId="0" borderId="39" xfId="0" applyBorder="1"/>
    <xf numFmtId="0" fontId="0" fillId="0" borderId="40" xfId="0" applyBorder="1"/>
    <xf numFmtId="0" fontId="0" fillId="0" borderId="41" xfId="0" applyBorder="1"/>
    <xf numFmtId="0" fontId="0" fillId="0" borderId="27" xfId="0" applyBorder="1"/>
    <xf numFmtId="0" fontId="7" fillId="0" borderId="0" xfId="0" applyFont="1"/>
    <xf numFmtId="164" fontId="0" fillId="0" borderId="3" xfId="0" applyNumberFormat="1" applyBorder="1"/>
    <xf numFmtId="164" fontId="0" fillId="0" borderId="2" xfId="0" applyNumberFormat="1" applyBorder="1"/>
    <xf numFmtId="0" fontId="0" fillId="0" borderId="15" xfId="0" applyBorder="1"/>
    <xf numFmtId="0" fontId="0" fillId="0" borderId="16" xfId="0" applyBorder="1"/>
    <xf numFmtId="0" fontId="0" fillId="0" borderId="18" xfId="0" applyBorder="1"/>
    <xf numFmtId="0" fontId="0" fillId="7" borderId="5" xfId="0" applyFill="1" applyBorder="1"/>
    <xf numFmtId="0" fontId="0" fillId="7" borderId="3" xfId="0" applyFill="1" applyBorder="1"/>
    <xf numFmtId="0" fontId="0" fillId="0" borderId="42" xfId="0" applyBorder="1"/>
    <xf numFmtId="0" fontId="0" fillId="7" borderId="43" xfId="0" applyFill="1" applyBorder="1"/>
    <xf numFmtId="0" fontId="0" fillId="7" borderId="4" xfId="0" applyFill="1" applyBorder="1"/>
    <xf numFmtId="0" fontId="0" fillId="7" borderId="12" xfId="0" applyFill="1" applyBorder="1"/>
    <xf numFmtId="0" fontId="0" fillId="7" borderId="2" xfId="0" applyFill="1" applyBorder="1"/>
    <xf numFmtId="0" fontId="0" fillId="0" borderId="43" xfId="0" applyBorder="1"/>
    <xf numFmtId="1" fontId="0" fillId="7" borderId="2" xfId="0" applyNumberFormat="1" applyFill="1" applyBorder="1"/>
    <xf numFmtId="164" fontId="0" fillId="7" borderId="4" xfId="0" applyNumberFormat="1" applyFill="1" applyBorder="1"/>
    <xf numFmtId="164" fontId="0" fillId="7" borderId="12" xfId="0" applyNumberFormat="1" applyFill="1" applyBorder="1"/>
    <xf numFmtId="0" fontId="0" fillId="0" borderId="19" xfId="0" applyBorder="1"/>
    <xf numFmtId="0" fontId="0" fillId="0" borderId="20" xfId="0" applyBorder="1"/>
    <xf numFmtId="0" fontId="0" fillId="0" borderId="21" xfId="0" applyBorder="1"/>
    <xf numFmtId="0" fontId="0" fillId="0" borderId="22" xfId="0" applyBorder="1"/>
    <xf numFmtId="1" fontId="0" fillId="0" borderId="0"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1" fillId="0" borderId="23" xfId="0" applyFont="1" applyBorder="1"/>
    <xf numFmtId="0" fontId="0" fillId="6" borderId="5" xfId="0" applyFill="1" applyBorder="1"/>
    <xf numFmtId="0" fontId="0" fillId="6" borderId="3" xfId="0" applyFill="1" applyBorder="1"/>
    <xf numFmtId="0" fontId="0" fillId="0" borderId="23" xfId="0" applyFill="1" applyBorder="1"/>
    <xf numFmtId="0" fontId="0" fillId="6" borderId="4" xfId="0" applyFill="1" applyBorder="1"/>
    <xf numFmtId="2" fontId="0" fillId="6" borderId="2" xfId="0" applyNumberFormat="1" applyFill="1" applyBorder="1"/>
    <xf numFmtId="0" fontId="0" fillId="6" borderId="1" xfId="0" applyFill="1" applyBorder="1"/>
    <xf numFmtId="0" fontId="0" fillId="6" borderId="6" xfId="0" applyFill="1" applyBorder="1"/>
    <xf numFmtId="0" fontId="0" fillId="6" borderId="15" xfId="0" applyFill="1" applyBorder="1"/>
    <xf numFmtId="0" fontId="0" fillId="6" borderId="18" xfId="0" applyFill="1" applyBorder="1"/>
    <xf numFmtId="0" fontId="0" fillId="6" borderId="0" xfId="0" applyFill="1"/>
    <xf numFmtId="0" fontId="2" fillId="6" borderId="0" xfId="0" applyFont="1" applyFill="1"/>
    <xf numFmtId="0" fontId="0" fillId="6" borderId="2" xfId="0" applyFill="1" applyBorder="1"/>
    <xf numFmtId="0" fontId="0" fillId="0" borderId="1" xfId="0" applyFill="1" applyBorder="1"/>
    <xf numFmtId="0" fontId="0" fillId="7" borderId="1" xfId="0" applyFill="1" applyBorder="1"/>
    <xf numFmtId="0" fontId="0" fillId="7" borderId="6" xfId="0" applyFill="1" applyBorder="1"/>
    <xf numFmtId="0" fontId="0" fillId="7" borderId="13" xfId="0" applyFill="1" applyBorder="1"/>
    <xf numFmtId="0" fontId="0" fillId="0" borderId="44" xfId="0" applyBorder="1"/>
    <xf numFmtId="164" fontId="0" fillId="7" borderId="42" xfId="0" applyNumberFormat="1" applyFill="1" applyBorder="1"/>
    <xf numFmtId="164" fontId="0" fillId="7" borderId="44" xfId="0" applyNumberFormat="1" applyFill="1" applyBorder="1"/>
    <xf numFmtId="1" fontId="0" fillId="7" borderId="43" xfId="0" applyNumberFormat="1" applyFill="1" applyBorder="1"/>
    <xf numFmtId="0" fontId="0" fillId="8" borderId="0" xfId="0" applyFill="1" applyBorder="1"/>
    <xf numFmtId="0" fontId="0" fillId="0" borderId="6" xfId="0" applyBorder="1" applyAlignment="1">
      <alignment wrapText="1"/>
    </xf>
    <xf numFmtId="0" fontId="0" fillId="0" borderId="22" xfId="0" applyBorder="1" applyAlignment="1">
      <alignment wrapText="1"/>
    </xf>
    <xf numFmtId="0" fontId="0" fillId="0" borderId="0" xfId="0" applyBorder="1" applyAlignment="1">
      <alignment wrapText="1"/>
    </xf>
    <xf numFmtId="0" fontId="0" fillId="8" borderId="0" xfId="0" applyFill="1" applyBorder="1" applyAlignment="1">
      <alignment wrapText="1"/>
    </xf>
    <xf numFmtId="0" fontId="0" fillId="0" borderId="23" xfId="0" applyBorder="1" applyAlignment="1">
      <alignment wrapText="1"/>
    </xf>
    <xf numFmtId="0" fontId="0" fillId="0" borderId="6" xfId="0" applyFill="1" applyBorder="1" applyAlignment="1">
      <alignment wrapText="1"/>
    </xf>
    <xf numFmtId="0" fontId="0" fillId="0" borderId="1" xfId="0" applyFill="1" applyBorder="1" applyAlignment="1">
      <alignment wrapText="1"/>
    </xf>
    <xf numFmtId="0" fontId="0" fillId="0" borderId="13" xfId="0" applyFill="1" applyBorder="1" applyAlignment="1">
      <alignment wrapText="1"/>
    </xf>
    <xf numFmtId="0" fontId="0" fillId="0" borderId="13" xfId="0" applyBorder="1" applyAlignment="1">
      <alignment wrapText="1"/>
    </xf>
    <xf numFmtId="0" fontId="0" fillId="8" borderId="0" xfId="0" applyFill="1"/>
    <xf numFmtId="0" fontId="2" fillId="8" borderId="0" xfId="0" applyFont="1" applyFill="1" applyBorder="1"/>
    <xf numFmtId="0" fontId="2" fillId="8" borderId="25" xfId="0" applyFont="1" applyFill="1" applyBorder="1"/>
    <xf numFmtId="1" fontId="0" fillId="0" borderId="0" xfId="0" applyNumberFormat="1"/>
    <xf numFmtId="0" fontId="0" fillId="9" borderId="0" xfId="0" applyFill="1"/>
    <xf numFmtId="1" fontId="0" fillId="5" borderId="0" xfId="0" applyNumberFormat="1" applyFill="1"/>
    <xf numFmtId="0" fontId="2" fillId="9" borderId="0" xfId="0" applyFont="1" applyFill="1"/>
    <xf numFmtId="2" fontId="2" fillId="9" borderId="0" xfId="0" applyNumberFormat="1" applyFont="1" applyFill="1"/>
    <xf numFmtId="1" fontId="2" fillId="9" borderId="0" xfId="0" applyNumberFormat="1" applyFont="1" applyFill="1"/>
    <xf numFmtId="0" fontId="6" fillId="0" borderId="0" xfId="0" applyFont="1"/>
    <xf numFmtId="164" fontId="0" fillId="5" borderId="0" xfId="0" applyNumberFormat="1" applyFill="1"/>
    <xf numFmtId="0" fontId="1" fillId="0" borderId="0" xfId="0" applyFont="1" applyBorder="1"/>
    <xf numFmtId="0" fontId="8" fillId="0" borderId="12" xfId="0" applyFont="1" applyBorder="1"/>
    <xf numFmtId="2" fontId="0" fillId="0" borderId="6" xfId="0" applyNumberFormat="1" applyBorder="1"/>
    <xf numFmtId="1" fontId="0" fillId="0" borderId="2" xfId="0" applyNumberFormat="1" applyBorder="1"/>
    <xf numFmtId="0" fontId="8" fillId="0" borderId="4" xfId="0" applyFont="1" applyFill="1" applyBorder="1"/>
    <xf numFmtId="166" fontId="0" fillId="0" borderId="2" xfId="0" applyNumberFormat="1" applyBorder="1"/>
    <xf numFmtId="0" fontId="8" fillId="0" borderId="5" xfId="0" applyFont="1" applyFill="1" applyBorder="1"/>
    <xf numFmtId="0" fontId="0" fillId="0" borderId="9" xfId="0" applyBorder="1" applyAlignment="1">
      <alignment wrapText="1"/>
    </xf>
    <xf numFmtId="0" fontId="0" fillId="0" borderId="7" xfId="0" applyBorder="1" applyAlignment="1">
      <alignment wrapText="1"/>
    </xf>
    <xf numFmtId="0" fontId="0" fillId="0" borderId="12" xfId="0" applyBorder="1" applyAlignment="1">
      <alignment wrapText="1"/>
    </xf>
    <xf numFmtId="0" fontId="0" fillId="10" borderId="0" xfId="0" applyFill="1"/>
    <xf numFmtId="0" fontId="0" fillId="11" borderId="0" xfId="0" applyFill="1"/>
    <xf numFmtId="0" fontId="0" fillId="12" borderId="0" xfId="0" applyFill="1"/>
    <xf numFmtId="2" fontId="0" fillId="0" borderId="1" xfId="0" applyNumberFormat="1" applyFill="1" applyBorder="1" applyAlignment="1">
      <alignment horizontal="right"/>
    </xf>
    <xf numFmtId="164" fontId="0" fillId="0" borderId="4" xfId="0" applyNumberFormat="1" applyFill="1" applyBorder="1" applyAlignment="1">
      <alignment horizontal="right"/>
    </xf>
    <xf numFmtId="2" fontId="0" fillId="0" borderId="4" xfId="0" applyNumberFormat="1" applyFill="1" applyBorder="1" applyAlignment="1">
      <alignment horizontal="right"/>
    </xf>
    <xf numFmtId="1" fontId="0" fillId="0" borderId="4" xfId="0" applyNumberFormat="1" applyFill="1" applyBorder="1" applyAlignment="1">
      <alignment horizontal="right"/>
    </xf>
    <xf numFmtId="165" fontId="0" fillId="0" borderId="4" xfId="0" applyNumberFormat="1" applyFill="1" applyBorder="1" applyAlignment="1">
      <alignment horizontal="right"/>
    </xf>
    <xf numFmtId="166" fontId="0" fillId="0" borderId="4" xfId="0" applyNumberFormat="1" applyFill="1" applyBorder="1" applyAlignment="1">
      <alignment horizontal="right"/>
    </xf>
    <xf numFmtId="165" fontId="0" fillId="0" borderId="4" xfId="0" applyNumberFormat="1" applyBorder="1" applyAlignment="1">
      <alignment horizontal="right"/>
    </xf>
    <xf numFmtId="167" fontId="0" fillId="0" borderId="4" xfId="0" applyNumberFormat="1" applyFill="1" applyBorder="1" applyAlignment="1">
      <alignment horizontal="right"/>
    </xf>
    <xf numFmtId="1" fontId="0" fillId="0" borderId="1" xfId="0" applyNumberFormat="1" applyFill="1" applyBorder="1" applyAlignment="1">
      <alignment horizontal="right"/>
    </xf>
    <xf numFmtId="0" fontId="0" fillId="13" borderId="0" xfId="0" applyFill="1"/>
    <xf numFmtId="0" fontId="0" fillId="14" borderId="0" xfId="0" applyFill="1"/>
    <xf numFmtId="1" fontId="0" fillId="14" borderId="0" xfId="0" applyNumberFormat="1" applyFill="1"/>
    <xf numFmtId="0" fontId="0" fillId="15" borderId="0" xfId="0" applyFill="1" applyAlignment="1">
      <alignment wrapText="1"/>
    </xf>
    <xf numFmtId="0" fontId="0" fillId="16" borderId="0" xfId="0" applyFill="1"/>
    <xf numFmtId="0" fontId="0" fillId="13" borderId="9" xfId="0" applyFill="1" applyBorder="1"/>
    <xf numFmtId="0" fontId="0" fillId="13" borderId="7" xfId="0" applyFill="1" applyBorder="1"/>
    <xf numFmtId="0" fontId="0" fillId="15" borderId="16" xfId="0" applyFill="1" applyBorder="1" applyAlignment="1">
      <alignment wrapText="1"/>
    </xf>
    <xf numFmtId="0" fontId="9" fillId="0" borderId="0" xfId="0" applyFont="1" applyFill="1" applyBorder="1"/>
    <xf numFmtId="0" fontId="0" fillId="0" borderId="0" xfId="0" applyAlignment="1">
      <alignment horizontal="left" vertical="top" wrapText="1"/>
    </xf>
    <xf numFmtId="0" fontId="0" fillId="0" borderId="29" xfId="0" applyFill="1" applyBorder="1" applyAlignment="1">
      <alignment horizontal="right"/>
    </xf>
    <xf numFmtId="0" fontId="0" fillId="0" borderId="29" xfId="0" applyFill="1" applyBorder="1" applyAlignment="1"/>
    <xf numFmtId="0" fontId="0" fillId="0" borderId="28" xfId="0" applyFill="1" applyBorder="1" applyAlignment="1"/>
    <xf numFmtId="0" fontId="6" fillId="6" borderId="38" xfId="0" applyFont="1" applyFill="1" applyBorder="1" applyAlignment="1">
      <alignment horizontal="center"/>
    </xf>
    <xf numFmtId="0" fontId="6" fillId="6" borderId="37" xfId="0" applyFont="1" applyFill="1" applyBorder="1" applyAlignment="1">
      <alignment horizontal="center"/>
    </xf>
    <xf numFmtId="0" fontId="6" fillId="6" borderId="36" xfId="0" applyFont="1" applyFill="1" applyBorder="1" applyAlignment="1">
      <alignment horizontal="center"/>
    </xf>
    <xf numFmtId="0" fontId="0" fillId="0" borderId="34" xfId="0" applyFill="1" applyBorder="1" applyAlignment="1">
      <alignment horizontal="right"/>
    </xf>
    <xf numFmtId="0" fontId="0" fillId="0" borderId="34" xfId="0" applyFill="1" applyBorder="1" applyAlignment="1"/>
    <xf numFmtId="0" fontId="0" fillId="0" borderId="33" xfId="0" applyFill="1" applyBorder="1" applyAlignment="1"/>
    <xf numFmtId="0" fontId="0" fillId="0" borderId="8" xfId="0" applyFill="1" applyBorder="1" applyAlignment="1">
      <alignment horizontal="right"/>
    </xf>
    <xf numFmtId="0" fontId="0" fillId="0" borderId="8" xfId="0" applyFill="1" applyBorder="1" applyAlignment="1"/>
    <xf numFmtId="0" fontId="0" fillId="0" borderId="31" xfId="0" applyFill="1" applyBorder="1" applyAlignment="1"/>
    <xf numFmtId="0" fontId="0" fillId="0" borderId="45" xfId="0" applyBorder="1" applyAlignment="1"/>
    <xf numFmtId="0" fontId="0" fillId="0" borderId="7" xfId="0" applyBorder="1" applyAlignme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TSData1!$X$20</c:f>
          <c:strCache>
            <c:ptCount val="1"/>
            <c:pt idx="0">
              <c:v> Simulated Torque Speed Curve for a GVK142-050M6 with a GenericAmp at 300VDC</c:v>
            </c:pt>
          </c:strCache>
        </c:strRef>
      </c:tx>
      <c:layout>
        <c:manualLayout>
          <c:xMode val="edge"/>
          <c:yMode val="edge"/>
          <c:x val="0.12537313432835817"/>
          <c:y val="2.9411764705882353E-2"/>
        </c:manualLayout>
      </c:layout>
      <c:overlay val="0"/>
      <c:spPr>
        <a:noFill/>
        <a:ln w="25400">
          <a:noFill/>
        </a:ln>
      </c:spPr>
      <c:txPr>
        <a:bodyPr/>
        <a:lstStyle/>
        <a:p>
          <a:pPr>
            <a:defRPr sz="825"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7611940298507564"/>
          <c:y val="0.15882383353215804"/>
          <c:w val="0.74029850746269044"/>
          <c:h val="0.71764843299715952"/>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TSData1!$I$5:$I$95</c:f>
              <c:numCache>
                <c:formatCode>General</c:formatCode>
                <c:ptCount val="91"/>
                <c:pt idx="0">
                  <c:v>18.552373244716961</c:v>
                </c:pt>
                <c:pt idx="1">
                  <c:v>18.543314981739783</c:v>
                </c:pt>
                <c:pt idx="2">
                  <c:v>18.533487107596919</c:v>
                </c:pt>
                <c:pt idx="3">
                  <c:v>18.522888782720763</c:v>
                </c:pt>
                <c:pt idx="4">
                  <c:v>18.511519055449575</c:v>
                </c:pt>
                <c:pt idx="5">
                  <c:v>18.499376861415488</c:v>
                </c:pt>
                <c:pt idx="6">
                  <c:v>18.486461022858531</c:v>
                </c:pt>
                <c:pt idx="7">
                  <c:v>18.472770247865213</c:v>
                </c:pt>
                <c:pt idx="8">
                  <c:v>18.458303129530762</c:v>
                </c:pt>
                <c:pt idx="9">
                  <c:v>18.443058145043661</c:v>
                </c:pt>
                <c:pt idx="10">
                  <c:v>18.427033654691069</c:v>
                </c:pt>
                <c:pt idx="11">
                  <c:v>18.41022790078361</c:v>
                </c:pt>
                <c:pt idx="12">
                  <c:v>18.392639006497877</c:v>
                </c:pt>
                <c:pt idx="13">
                  <c:v>18.37426497463483</c:v>
                </c:pt>
                <c:pt idx="14">
                  <c:v>18.355103686292136</c:v>
                </c:pt>
                <c:pt idx="15">
                  <c:v>18.335152899448367</c:v>
                </c:pt>
                <c:pt idx="16">
                  <c:v>18.314410247456866</c:v>
                </c:pt>
                <c:pt idx="17">
                  <c:v>18.292873237446724</c:v>
                </c:pt>
                <c:pt idx="18">
                  <c:v>18.270539248628452</c:v>
                </c:pt>
                <c:pt idx="19">
                  <c:v>18.247405530501418</c:v>
                </c:pt>
                <c:pt idx="20">
                  <c:v>18.22346920096037</c:v>
                </c:pt>
                <c:pt idx="21">
                  <c:v>18.198727244297604</c:v>
                </c:pt>
                <c:pt idx="22">
                  <c:v>18.173176509097658</c:v>
                </c:pt>
                <c:pt idx="23">
                  <c:v>18.146813706020883</c:v>
                </c:pt>
                <c:pt idx="24">
                  <c:v>18.119635405472238</c:v>
                </c:pt>
                <c:pt idx="25">
                  <c:v>18.091638035151064</c:v>
                </c:pt>
                <c:pt idx="26">
                  <c:v>18.06281787747788</c:v>
                </c:pt>
                <c:pt idx="27">
                  <c:v>18.033171066893431</c:v>
                </c:pt>
                <c:pt idx="28">
                  <c:v>18.002693587025352</c:v>
                </c:pt>
                <c:pt idx="29">
                  <c:v>17.971381267717241</c:v>
                </c:pt>
                <c:pt idx="30">
                  <c:v>17.93922978191484</c:v>
                </c:pt>
                <c:pt idx="31">
                  <c:v>17.906234642403515</c:v>
                </c:pt>
                <c:pt idx="32">
                  <c:v>17.872391198391</c:v>
                </c:pt>
                <c:pt idx="33">
                  <c:v>17.83769463192893</c:v>
                </c:pt>
                <c:pt idx="34">
                  <c:v>17.802139954166336</c:v>
                </c:pt>
                <c:pt idx="35">
                  <c:v>17.765722001427857</c:v>
                </c:pt>
                <c:pt idx="36">
                  <c:v>17.728435431108842</c:v>
                </c:pt>
                <c:pt idx="37">
                  <c:v>17.690274717379385</c:v>
                </c:pt>
                <c:pt idx="38">
                  <c:v>17.651234146688385</c:v>
                </c:pt>
                <c:pt idx="39">
                  <c:v>17.611307813058506</c:v>
                </c:pt>
                <c:pt idx="40">
                  <c:v>17.570489613162284</c:v>
                </c:pt>
                <c:pt idx="41">
                  <c:v>17.528773241168849</c:v>
                </c:pt>
                <c:pt idx="42">
                  <c:v>17.48615218335026</c:v>
                </c:pt>
                <c:pt idx="43">
                  <c:v>17.442619712435736</c:v>
                </c:pt>
                <c:pt idx="44">
                  <c:v>17.398168881701118</c:v>
                </c:pt>
                <c:pt idx="45">
                  <c:v>17.352792518780433</c:v>
                </c:pt>
                <c:pt idx="46">
                  <c:v>17.306483219185075</c:v>
                </c:pt>
                <c:pt idx="47">
                  <c:v>17.259233339515902</c:v>
                </c:pt>
                <c:pt idx="48">
                  <c:v>17.211034990351724</c:v>
                </c:pt>
                <c:pt idx="49">
                  <c:v>17.161880028797242</c:v>
                </c:pt>
                <c:pt idx="50">
                  <c:v>17.111760050672132</c:v>
                </c:pt>
                <c:pt idx="51">
                  <c:v>17.060666382321546</c:v>
                </c:pt>
                <c:pt idx="52">
                  <c:v>17.008590072027307</c:v>
                </c:pt>
                <c:pt idx="53">
                  <c:v>16.955521880997335</c:v>
                </c:pt>
                <c:pt idx="54">
                  <c:v>16.901452273909605</c:v>
                </c:pt>
                <c:pt idx="55">
                  <c:v>16.846371408984872</c:v>
                </c:pt>
                <c:pt idx="56">
                  <c:v>16.790269127560983</c:v>
                </c:pt>
                <c:pt idx="57">
                  <c:v>16.733134943139426</c:v>
                </c:pt>
                <c:pt idx="58">
                  <c:v>16.674958029872663</c:v>
                </c:pt>
                <c:pt idx="59">
                  <c:v>16.615727210458569</c:v>
                </c:pt>
                <c:pt idx="60">
                  <c:v>16.555430943405792</c:v>
                </c:pt>
                <c:pt idx="61">
                  <c:v>16.494057309631092</c:v>
                </c:pt>
                <c:pt idx="62">
                  <c:v>16.431593998346933</c:v>
                </c:pt>
                <c:pt idx="63">
                  <c:v>16.368028292194222</c:v>
                </c:pt>
                <c:pt idx="64">
                  <c:v>16.303347051571784</c:v>
                </c:pt>
                <c:pt idx="65">
                  <c:v>16.237536698110333</c:v>
                </c:pt>
                <c:pt idx="66">
                  <c:v>16.170482778967358</c:v>
                </c:pt>
                <c:pt idx="67">
                  <c:v>16.085570254388376</c:v>
                </c:pt>
                <c:pt idx="68">
                  <c:v>15.970959015161826</c:v>
                </c:pt>
                <c:pt idx="69">
                  <c:v>15.83428986870987</c:v>
                </c:pt>
                <c:pt idx="70">
                  <c:v>15.673252215992335</c:v>
                </c:pt>
                <c:pt idx="71">
                  <c:v>15.499518081888148</c:v>
                </c:pt>
                <c:pt idx="72">
                  <c:v>15.306241895687782</c:v>
                </c:pt>
                <c:pt idx="73">
                  <c:v>15.093831838031196</c:v>
                </c:pt>
                <c:pt idx="74">
                  <c:v>14.879267518290543</c:v>
                </c:pt>
                <c:pt idx="75">
                  <c:v>14.649806738350462</c:v>
                </c:pt>
                <c:pt idx="76">
                  <c:v>14.405830103241829</c:v>
                </c:pt>
                <c:pt idx="77">
                  <c:v>14.16872316045446</c:v>
                </c:pt>
                <c:pt idx="78">
                  <c:v>13.898401550494961</c:v>
                </c:pt>
                <c:pt idx="79">
                  <c:v>13.638492475526339</c:v>
                </c:pt>
                <c:pt idx="80">
                  <c:v>13.368350142701123</c:v>
                </c:pt>
                <c:pt idx="81">
                  <c:v>13.088326339219657</c:v>
                </c:pt>
                <c:pt idx="82">
                  <c:v>12.7987842774725</c:v>
                </c:pt>
                <c:pt idx="83">
                  <c:v>12.500098293802656</c:v>
                </c:pt>
                <c:pt idx="84">
                  <c:v>12.221965794420033</c:v>
                </c:pt>
                <c:pt idx="85">
                  <c:v>11.907195942554194</c:v>
                </c:pt>
                <c:pt idx="86">
                  <c:v>11.584427840426969</c:v>
                </c:pt>
                <c:pt idx="87">
                  <c:v>11.286236832472623</c:v>
                </c:pt>
                <c:pt idx="88">
                  <c:v>10.94964252304297</c:v>
                </c:pt>
                <c:pt idx="89">
                  <c:v>10.640094965304037</c:v>
                </c:pt>
                <c:pt idx="90">
                  <c:v>10.291236750440238</c:v>
                </c:pt>
              </c:numCache>
            </c:numRef>
          </c:yVal>
          <c:smooth val="0"/>
          <c:extLst>
            <c:ext xmlns:c16="http://schemas.microsoft.com/office/drawing/2014/chart" uri="{C3380CC4-5D6E-409C-BE32-E72D297353CC}">
              <c16:uniqueId val="{00000000-F9DB-4056-B516-9D0596D965E9}"/>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TSData1!$J$5:$J$95</c:f>
              <c:numCache>
                <c:formatCode>General</c:formatCode>
                <c:ptCount val="91"/>
                <c:pt idx="0">
                  <c:v>49.763685926768567</c:v>
                </c:pt>
                <c:pt idx="1">
                  <c:v>49.759465155030718</c:v>
                </c:pt>
                <c:pt idx="2">
                  <c:v>49.755209602626742</c:v>
                </c:pt>
                <c:pt idx="3">
                  <c:v>49.75091926820911</c:v>
                </c:pt>
                <c:pt idx="4">
                  <c:v>49.74659415025296</c:v>
                </c:pt>
                <c:pt idx="5">
                  <c:v>49.742234247055961</c:v>
                </c:pt>
                <c:pt idx="6">
                  <c:v>49.737839556738322</c:v>
                </c:pt>
                <c:pt idx="7">
                  <c:v>49.733410077242716</c:v>
                </c:pt>
                <c:pt idx="8">
                  <c:v>49.728945806334274</c:v>
                </c:pt>
                <c:pt idx="9">
                  <c:v>49.724446741600495</c:v>
                </c:pt>
                <c:pt idx="10">
                  <c:v>49.719912880451176</c:v>
                </c:pt>
                <c:pt idx="11">
                  <c:v>49.715344220118368</c:v>
                </c:pt>
                <c:pt idx="12">
                  <c:v>49.710740757656296</c:v>
                </c:pt>
                <c:pt idx="13">
                  <c:v>49.706102489941287</c:v>
                </c:pt>
                <c:pt idx="14">
                  <c:v>49.701429413671676</c:v>
                </c:pt>
                <c:pt idx="15">
                  <c:v>49.696721525367749</c:v>
                </c:pt>
                <c:pt idx="16">
                  <c:v>49.691978821371634</c:v>
                </c:pt>
                <c:pt idx="17">
                  <c:v>49.687201297847196</c:v>
                </c:pt>
                <c:pt idx="18">
                  <c:v>49.682388950780002</c:v>
                </c:pt>
                <c:pt idx="19">
                  <c:v>49.677541775977083</c:v>
                </c:pt>
                <c:pt idx="20">
                  <c:v>49.67265976906701</c:v>
                </c:pt>
                <c:pt idx="21">
                  <c:v>49.667742925499638</c:v>
                </c:pt>
                <c:pt idx="22">
                  <c:v>49.662791240546063</c:v>
                </c:pt>
                <c:pt idx="23">
                  <c:v>49.657804709298432</c:v>
                </c:pt>
                <c:pt idx="24">
                  <c:v>49.652783326669912</c:v>
                </c:pt>
                <c:pt idx="25">
                  <c:v>49.647727087394507</c:v>
                </c:pt>
                <c:pt idx="26">
                  <c:v>49.642635986026868</c:v>
                </c:pt>
                <c:pt idx="27">
                  <c:v>49.128427938340792</c:v>
                </c:pt>
                <c:pt idx="28">
                  <c:v>47.801494095476492</c:v>
                </c:pt>
                <c:pt idx="29">
                  <c:v>47.114043903771879</c:v>
                </c:pt>
                <c:pt idx="30">
                  <c:v>46.464600805789068</c:v>
                </c:pt>
                <c:pt idx="31">
                  <c:v>45.849584085642661</c:v>
                </c:pt>
                <c:pt idx="32">
                  <c:v>45.265834588893334</c:v>
                </c:pt>
                <c:pt idx="33">
                  <c:v>44.710554508983812</c:v>
                </c:pt>
                <c:pt idx="34">
                  <c:v>44.181257209243959</c:v>
                </c:pt>
                <c:pt idx="35">
                  <c:v>43.675725181843227</c:v>
                </c:pt>
                <c:pt idx="36">
                  <c:v>43.191974644778369</c:v>
                </c:pt>
                <c:pt idx="37">
                  <c:v>42.728225585453671</c:v>
                </c:pt>
                <c:pt idx="38">
                  <c:v>42.282876297699232</c:v>
                </c:pt>
                <c:pt idx="39">
                  <c:v>41.854481645054776</c:v>
                </c:pt>
                <c:pt idx="40">
                  <c:v>41.242849440895384</c:v>
                </c:pt>
                <c:pt idx="41">
                  <c:v>40.851385215580507</c:v>
                </c:pt>
                <c:pt idx="42">
                  <c:v>40.47280399762726</c:v>
                </c:pt>
                <c:pt idx="43">
                  <c:v>40.106168646669069</c:v>
                </c:pt>
                <c:pt idx="44">
                  <c:v>39.750622944335781</c:v>
                </c:pt>
                <c:pt idx="45">
                  <c:v>39.405383082876895</c:v>
                </c:pt>
                <c:pt idx="46">
                  <c:v>39.069730206713771</c:v>
                </c:pt>
                <c:pt idx="47">
                  <c:v>38.584791875361624</c:v>
                </c:pt>
                <c:pt idx="48">
                  <c:v>38.270330658396588</c:v>
                </c:pt>
                <c:pt idx="49">
                  <c:v>37.963364045016419</c:v>
                </c:pt>
                <c:pt idx="50">
                  <c:v>37.658030632781859</c:v>
                </c:pt>
                <c:pt idx="51">
                  <c:v>37.176254476455313</c:v>
                </c:pt>
                <c:pt idx="52">
                  <c:v>36.838428254441304</c:v>
                </c:pt>
                <c:pt idx="53">
                  <c:v>36.490480701977916</c:v>
                </c:pt>
                <c:pt idx="54">
                  <c:v>35.95501023619687</c:v>
                </c:pt>
                <c:pt idx="55">
                  <c:v>35.588337236647106</c:v>
                </c:pt>
                <c:pt idx="56">
                  <c:v>35.216374227422719</c:v>
                </c:pt>
                <c:pt idx="57">
                  <c:v>34.652769509649907</c:v>
                </c:pt>
                <c:pt idx="58">
                  <c:v>34.271919581809208</c:v>
                </c:pt>
                <c:pt idx="59">
                  <c:v>33.698919543103777</c:v>
                </c:pt>
                <c:pt idx="60">
                  <c:v>33.314091004638435</c:v>
                </c:pt>
                <c:pt idx="61">
                  <c:v>32.738048726472549</c:v>
                </c:pt>
                <c:pt idx="62">
                  <c:v>32.352889181574199</c:v>
                </c:pt>
                <c:pt idx="63">
                  <c:v>31.778519404108227</c:v>
                </c:pt>
                <c:pt idx="64">
                  <c:v>31.395730108150826</c:v>
                </c:pt>
                <c:pt idx="65">
                  <c:v>30.826514099829005</c:v>
                </c:pt>
                <c:pt idx="66">
                  <c:v>30.44808183636972</c:v>
                </c:pt>
                <c:pt idx="67">
                  <c:v>29.886567318740362</c:v>
                </c:pt>
                <c:pt idx="68">
                  <c:v>29.51393688996064</c:v>
                </c:pt>
                <c:pt idx="69">
                  <c:v>28.961962013232561</c:v>
                </c:pt>
                <c:pt idx="70">
                  <c:v>28.59616553636258</c:v>
                </c:pt>
                <c:pt idx="71">
                  <c:v>28.055027355048011</c:v>
                </c:pt>
                <c:pt idx="72">
                  <c:v>27.520837408432552</c:v>
                </c:pt>
                <c:pt idx="73">
                  <c:v>27.167363878618197</c:v>
                </c:pt>
                <c:pt idx="74">
                  <c:v>26.645267183508466</c:v>
                </c:pt>
                <c:pt idx="75">
                  <c:v>26.30001472908668</c:v>
                </c:pt>
                <c:pt idx="76">
                  <c:v>25.790425457485725</c:v>
                </c:pt>
                <c:pt idx="77">
                  <c:v>25.453596608133097</c:v>
                </c:pt>
                <c:pt idx="78">
                  <c:v>24.95672296363249</c:v>
                </c:pt>
                <c:pt idx="79">
                  <c:v>24.467511621081862</c:v>
                </c:pt>
                <c:pt idx="80">
                  <c:v>24.144293515335917</c:v>
                </c:pt>
                <c:pt idx="81">
                  <c:v>23.667820405355926</c:v>
                </c:pt>
                <c:pt idx="82">
                  <c:v>23.353060510765225</c:v>
                </c:pt>
                <c:pt idx="83">
                  <c:v>22.889200632265521</c:v>
                </c:pt>
                <c:pt idx="84">
                  <c:v>22.432816425157704</c:v>
                </c:pt>
                <c:pt idx="85">
                  <c:v>21.983822599009621</c:v>
                </c:pt>
                <c:pt idx="86">
                  <c:v>21.68722178299117</c:v>
                </c:pt>
                <c:pt idx="87">
                  <c:v>21.250327865388314</c:v>
                </c:pt>
                <c:pt idx="88">
                  <c:v>20.820550168785942</c:v>
                </c:pt>
                <c:pt idx="89">
                  <c:v>20.397773102734359</c:v>
                </c:pt>
                <c:pt idx="90">
                  <c:v>20.118421235571329</c:v>
                </c:pt>
              </c:numCache>
            </c:numRef>
          </c:yVal>
          <c:smooth val="0"/>
          <c:extLst>
            <c:ext xmlns:c16="http://schemas.microsoft.com/office/drawing/2014/chart" uri="{C3380CC4-5D6E-409C-BE32-E72D297353CC}">
              <c16:uniqueId val="{00000001-F9DB-4056-B516-9D0596D965E9}"/>
            </c:ext>
          </c:extLst>
        </c:ser>
        <c:ser>
          <c:idx val="2"/>
          <c:order val="2"/>
          <c:spPr>
            <a:ln w="25400">
              <a:solidFill>
                <a:schemeClr val="accent1">
                  <a:lumMod val="60000"/>
                  <a:lumOff val="40000"/>
                </a:schemeClr>
              </a:solidFill>
              <a:prstDash val="dash"/>
            </a:ln>
          </c:spPr>
          <c:marker>
            <c:symbol val="none"/>
          </c:marker>
          <c:xVal>
            <c:numRef>
              <c:f>TSData1!$H$5:$H$100</c:f>
              <c:numCache>
                <c:formatCode>General</c:formatCode>
                <c:ptCount val="96"/>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TSData1!$BF$5:$BF$100</c:f>
              <c:numCache>
                <c:formatCode>General</c:formatCode>
                <c:ptCount val="96"/>
                <c:pt idx="0">
                  <c:v>-64.736534198122115</c:v>
                </c:pt>
                <c:pt idx="1">
                  <c:v>-46.288416643632623</c:v>
                </c:pt>
                <c:pt idx="2">
                  <c:v>-36.019954433926372</c:v>
                </c:pt>
                <c:pt idx="3">
                  <c:v>-29.478201571253933</c:v>
                </c:pt>
                <c:pt idx="4">
                  <c:v>-24.945971563066522</c:v>
                </c:pt>
                <c:pt idx="5">
                  <c:v>-21.620602703142307</c:v>
                </c:pt>
                <c:pt idx="6">
                  <c:v>-19.076680358825602</c:v>
                </c:pt>
                <c:pt idx="7">
                  <c:v>-17.067709819317731</c:v>
                </c:pt>
                <c:pt idx="8">
                  <c:v>-15.441003284136846</c:v>
                </c:pt>
                <c:pt idx="9">
                  <c:v>-14.096932257531801</c:v>
                </c:pt>
                <c:pt idx="10">
                  <c:v>-12.967722023651248</c:v>
                </c:pt>
                <c:pt idx="11">
                  <c:v>-12.005663316733933</c:v>
                </c:pt>
                <c:pt idx="12">
                  <c:v>-11.176198314960825</c:v>
                </c:pt>
                <c:pt idx="13">
                  <c:v>-10.45368117286948</c:v>
                </c:pt>
                <c:pt idx="14">
                  <c:v>-9.8186791767727719</c:v>
                </c:pt>
                <c:pt idx="15">
                  <c:v>-9.2561986514824621</c:v>
                </c:pt>
                <c:pt idx="16">
                  <c:v>-8.7544859152043628</c:v>
                </c:pt>
                <c:pt idx="17">
                  <c:v>-8.3041969685469255</c:v>
                </c:pt>
                <c:pt idx="18">
                  <c:v>-7.8978100742814883</c:v>
                </c:pt>
                <c:pt idx="19">
                  <c:v>-7.5292021865791181</c:v>
                </c:pt>
                <c:pt idx="20">
                  <c:v>-7.1933382786214706</c:v>
                </c:pt>
                <c:pt idx="21">
                  <c:v>-6.8860399546256792</c:v>
                </c:pt>
                <c:pt idx="22">
                  <c:v>-6.6038107035067499</c:v>
                </c:pt>
                <c:pt idx="23">
                  <c:v>-6.3437022520302353</c:v>
                </c:pt>
                <c:pt idx="24">
                  <c:v>-6.1032111653782515</c:v>
                </c:pt>
                <c:pt idx="25">
                  <c:v>-5.8801979987890354</c:v>
                </c:pt>
                <c:pt idx="26">
                  <c:v>-5.6728234634933408</c:v>
                </c:pt>
                <c:pt idx="27">
                  <c:v>-5.4794975711239911</c:v>
                </c:pt>
                <c:pt idx="28">
                  <c:v>-5.2988387789793796</c:v>
                </c:pt>
                <c:pt idx="29">
                  <c:v>-5.1296409144851243</c:v>
                </c:pt>
                <c:pt idx="30">
                  <c:v>-4.9708462038865768</c:v>
                </c:pt>
                <c:pt idx="31">
                  <c:v>-4.821523130069127</c:v>
                </c:pt>
                <c:pt idx="32">
                  <c:v>-4.6808481399874067</c:v>
                </c:pt>
                <c:pt idx="33">
                  <c:v>-4.5480904428542805</c:v>
                </c:pt>
                <c:pt idx="34">
                  <c:v>-4.4225993065149529</c:v>
                </c:pt>
                <c:pt idx="35">
                  <c:v>-4.3037933858110042</c:v>
                </c:pt>
                <c:pt idx="36">
                  <c:v>-4.1911517135841354</c:v>
                </c:pt>
                <c:pt idx="37">
                  <c:v>-4.0842060597539378</c:v>
                </c:pt>
                <c:pt idx="38">
                  <c:v>-3.9825344220745391</c:v>
                </c:pt>
                <c:pt idx="39">
                  <c:v>-3.8857554577332474</c:v>
                </c:pt>
                <c:pt idx="40">
                  <c:v>-3.7935237008674121</c:v>
                </c:pt>
                <c:pt idx="41">
                  <c:v>-3.7055254395604398</c:v>
                </c:pt>
                <c:pt idx="42">
                  <c:v>-3.6214751486030052</c:v>
                </c:pt>
                <c:pt idx="43">
                  <c:v>-3.5411123925364927</c:v>
                </c:pt>
                <c:pt idx="44">
                  <c:v>-3.464199128199076</c:v>
                </c:pt>
                <c:pt idx="45">
                  <c:v>-3.3905173479128741</c:v>
                </c:pt>
                <c:pt idx="46">
                  <c:v>-3.319867014157492</c:v>
                </c:pt>
                <c:pt idx="47">
                  <c:v>-3.2520642445176926</c:v>
                </c:pt>
                <c:pt idx="48">
                  <c:v>-3.1869397122201728</c:v>
                </c:pt>
                <c:pt idx="49">
                  <c:v>-3.1243372329611794</c:v>
                </c:pt>
                <c:pt idx="50">
                  <c:v>-3.0641125131901985</c:v>
                </c:pt>
                <c:pt idx="51">
                  <c:v>-3.0061320387277792</c:v>
                </c:pt>
                <c:pt idx="52">
                  <c:v>-2.9502720856952531</c:v>
                </c:pt>
                <c:pt idx="53">
                  <c:v>-2.8964178383314034</c:v>
                </c:pt>
                <c:pt idx="54">
                  <c:v>-2.8444626004546034</c:v>
                </c:pt>
                <c:pt idx="55">
                  <c:v>-2.7943070891708404</c:v>
                </c:pt>
                <c:pt idx="56">
                  <c:v>-2.7458588009865537</c:v>
                </c:pt>
                <c:pt idx="57">
                  <c:v>-2.699031441807981</c:v>
                </c:pt>
                <c:pt idx="58">
                  <c:v>-2.6537444134348185</c:v>
                </c:pt>
                <c:pt idx="59">
                  <c:v>-2.6099223501172228</c:v>
                </c:pt>
                <c:pt idx="60">
                  <c:v>-2.5674946995681029</c:v>
                </c:pt>
                <c:pt idx="61">
                  <c:v>-2.52639534352882</c:v>
                </c:pt>
                <c:pt idx="62">
                  <c:v>-2.4865622535941845</c:v>
                </c:pt>
                <c:pt idx="63">
                  <c:v>-2.4479371785267845</c:v>
                </c:pt>
                <c:pt idx="64">
                  <c:v>-2.4104653597439265</c:v>
                </c:pt>
                <c:pt idx="65">
                  <c:v>-2.3740947070228668</c:v>
                </c:pt>
                <c:pt idx="66">
                  <c:v>-2.338684327133993</c:v>
                </c:pt>
                <c:pt idx="67">
                  <c:v>-2.3041256308906735</c:v>
                </c:pt>
                <c:pt idx="68">
                  <c:v>-2.2704200243627746</c:v>
                </c:pt>
                <c:pt idx="69">
                  <c:v>-2.2375142181197187</c:v>
                </c:pt>
                <c:pt idx="70">
                  <c:v>-2.2054331634440696</c:v>
                </c:pt>
                <c:pt idx="71">
                  <c:v>-2.1741005853667503</c:v>
                </c:pt>
                <c:pt idx="72">
                  <c:v>-2.1434810790007406</c:v>
                </c:pt>
                <c:pt idx="73">
                  <c:v>-2.1136342698519233</c:v>
                </c:pt>
                <c:pt idx="74">
                  <c:v>-2.0844540022409017</c:v>
                </c:pt>
                <c:pt idx="75">
                  <c:v>-2.0559081309437781</c:v>
                </c:pt>
                <c:pt idx="76">
                  <c:v>-2.0280902424821279</c:v>
                </c:pt>
                <c:pt idx="77">
                  <c:v>-2.0007310463913242</c:v>
                </c:pt>
                <c:pt idx="78">
                  <c:v>-1.9740614542229662</c:v>
                </c:pt>
                <c:pt idx="79">
                  <c:v>-1.9479281433668436</c:v>
                </c:pt>
                <c:pt idx="80">
                  <c:v>-1.9223032742153039</c:v>
                </c:pt>
                <c:pt idx="81">
                  <c:v>-1.8971593258090378</c:v>
                </c:pt>
                <c:pt idx="82">
                  <c:v>-1.8724689463349176</c:v>
                </c:pt>
                <c:pt idx="83">
                  <c:v>-1.8484139001609081</c:v>
                </c:pt>
                <c:pt idx="84">
                  <c:v>-1.8245638632151289</c:v>
                </c:pt>
                <c:pt idx="85">
                  <c:v>-1.8010858805431964</c:v>
                </c:pt>
                <c:pt idx="86">
                  <c:v>-1.7782083082310063</c:v>
                </c:pt>
                <c:pt idx="87">
                  <c:v>-1.7554081330233324</c:v>
                </c:pt>
                <c:pt idx="88">
                  <c:v>-1.7331885187465708</c:v>
                </c:pt>
                <c:pt idx="89">
                  <c:v>-1.7109523437578953</c:v>
                </c:pt>
                <c:pt idx="90">
                  <c:v>-1.6892793336137193</c:v>
                </c:pt>
                <c:pt idx="91">
                  <c:v>0</c:v>
                </c:pt>
                <c:pt idx="92">
                  <c:v>0</c:v>
                </c:pt>
                <c:pt idx="93">
                  <c:v>0</c:v>
                </c:pt>
                <c:pt idx="94">
                  <c:v>0</c:v>
                </c:pt>
                <c:pt idx="95">
                  <c:v>0</c:v>
                </c:pt>
              </c:numCache>
            </c:numRef>
          </c:yVal>
          <c:smooth val="0"/>
          <c:extLst>
            <c:ext xmlns:c16="http://schemas.microsoft.com/office/drawing/2014/chart" uri="{C3380CC4-5D6E-409C-BE32-E72D297353CC}">
              <c16:uniqueId val="{00000002-F9DB-4056-B516-9D0596D965E9}"/>
            </c:ext>
          </c:extLst>
        </c:ser>
        <c:ser>
          <c:idx val="3"/>
          <c:order val="3"/>
          <c:spPr>
            <a:ln w="25400">
              <a:solidFill>
                <a:schemeClr val="accent1">
                  <a:lumMod val="60000"/>
                  <a:lumOff val="40000"/>
                </a:schemeClr>
              </a:solidFill>
            </a:ln>
          </c:spPr>
          <c:marker>
            <c:symbol val="none"/>
          </c:marker>
          <c:xVal>
            <c:numRef>
              <c:f>TSData1!$H$5:$H$100</c:f>
              <c:numCache>
                <c:formatCode>General</c:formatCode>
                <c:ptCount val="96"/>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TSData1!$BG$5:$BG$100</c:f>
              <c:numCache>
                <c:formatCode>General</c:formatCode>
                <c:ptCount val="96"/>
                <c:pt idx="0">
                  <c:v>-64.736534198122115</c:v>
                </c:pt>
                <c:pt idx="1">
                  <c:v>-46.288416643632623</c:v>
                </c:pt>
                <c:pt idx="2">
                  <c:v>-36.019954433926372</c:v>
                </c:pt>
                <c:pt idx="3">
                  <c:v>-29.478201571253933</c:v>
                </c:pt>
                <c:pt idx="4">
                  <c:v>-24.945971563066522</c:v>
                </c:pt>
                <c:pt idx="5">
                  <c:v>-21.620602703142307</c:v>
                </c:pt>
                <c:pt idx="6">
                  <c:v>-19.076680358825602</c:v>
                </c:pt>
                <c:pt idx="7">
                  <c:v>-17.067709819317731</c:v>
                </c:pt>
                <c:pt idx="8">
                  <c:v>-15.441003284136846</c:v>
                </c:pt>
                <c:pt idx="9">
                  <c:v>-14.096932257531801</c:v>
                </c:pt>
                <c:pt idx="10">
                  <c:v>-12.967722023651248</c:v>
                </c:pt>
                <c:pt idx="11">
                  <c:v>-12.005663316733933</c:v>
                </c:pt>
                <c:pt idx="12">
                  <c:v>-11.176198314960825</c:v>
                </c:pt>
                <c:pt idx="13">
                  <c:v>-10.45368117286948</c:v>
                </c:pt>
                <c:pt idx="14">
                  <c:v>-9.8186791767727719</c:v>
                </c:pt>
                <c:pt idx="15">
                  <c:v>-9.2561986514824621</c:v>
                </c:pt>
                <c:pt idx="16">
                  <c:v>-8.7544859152043628</c:v>
                </c:pt>
                <c:pt idx="17">
                  <c:v>-8.3041969685469255</c:v>
                </c:pt>
                <c:pt idx="18">
                  <c:v>-7.8978100742814883</c:v>
                </c:pt>
                <c:pt idx="19">
                  <c:v>-7.5292021865791181</c:v>
                </c:pt>
                <c:pt idx="20">
                  <c:v>-7.1933382786214706</c:v>
                </c:pt>
                <c:pt idx="21">
                  <c:v>-6.8860399546256792</c:v>
                </c:pt>
                <c:pt idx="22">
                  <c:v>-6.6038107035067499</c:v>
                </c:pt>
                <c:pt idx="23">
                  <c:v>-6.3437022520302353</c:v>
                </c:pt>
                <c:pt idx="24">
                  <c:v>-6.1032111653782515</c:v>
                </c:pt>
                <c:pt idx="25">
                  <c:v>-5.8801979987890354</c:v>
                </c:pt>
                <c:pt idx="26">
                  <c:v>-5.6728234634933408</c:v>
                </c:pt>
                <c:pt idx="27">
                  <c:v>-5.4794975711239911</c:v>
                </c:pt>
                <c:pt idx="28">
                  <c:v>-5.2988387789793796</c:v>
                </c:pt>
                <c:pt idx="29">
                  <c:v>-5.1296409144851243</c:v>
                </c:pt>
                <c:pt idx="30">
                  <c:v>-4.9708462038865768</c:v>
                </c:pt>
                <c:pt idx="31">
                  <c:v>-4.821523130069127</c:v>
                </c:pt>
                <c:pt idx="32">
                  <c:v>-4.6808481399874067</c:v>
                </c:pt>
                <c:pt idx="33">
                  <c:v>-4.5480904428542805</c:v>
                </c:pt>
                <c:pt idx="34">
                  <c:v>-4.4225993065149529</c:v>
                </c:pt>
                <c:pt idx="35">
                  <c:v>-4.3037933858110042</c:v>
                </c:pt>
                <c:pt idx="36">
                  <c:v>-4.1911517135841354</c:v>
                </c:pt>
                <c:pt idx="37">
                  <c:v>-4.0842060597539378</c:v>
                </c:pt>
                <c:pt idx="38">
                  <c:v>-3.9825344220745391</c:v>
                </c:pt>
                <c:pt idx="39">
                  <c:v>-3.8857554577332474</c:v>
                </c:pt>
                <c:pt idx="40">
                  <c:v>-3.7935237008674121</c:v>
                </c:pt>
                <c:pt idx="41">
                  <c:v>-3.7055254395604398</c:v>
                </c:pt>
                <c:pt idx="42">
                  <c:v>-3.6214751486030052</c:v>
                </c:pt>
                <c:pt idx="43">
                  <c:v>-3.5411123925364927</c:v>
                </c:pt>
                <c:pt idx="44">
                  <c:v>-3.464199128199076</c:v>
                </c:pt>
                <c:pt idx="45">
                  <c:v>-3.3905173479128741</c:v>
                </c:pt>
                <c:pt idx="46">
                  <c:v>-3.319867014157492</c:v>
                </c:pt>
                <c:pt idx="47">
                  <c:v>-3.2520642445176926</c:v>
                </c:pt>
                <c:pt idx="48">
                  <c:v>-3.1869397122201728</c:v>
                </c:pt>
                <c:pt idx="49">
                  <c:v>-3.1243372329611794</c:v>
                </c:pt>
                <c:pt idx="50">
                  <c:v>-3.0641125131901985</c:v>
                </c:pt>
                <c:pt idx="51">
                  <c:v>-3.0061320387277792</c:v>
                </c:pt>
                <c:pt idx="52">
                  <c:v>-2.9502720856952531</c:v>
                </c:pt>
                <c:pt idx="53">
                  <c:v>-2.8964178383314034</c:v>
                </c:pt>
                <c:pt idx="54">
                  <c:v>-2.8444626004546034</c:v>
                </c:pt>
                <c:pt idx="55">
                  <c:v>-2.7943070891708404</c:v>
                </c:pt>
                <c:pt idx="56">
                  <c:v>-2.7458588009865537</c:v>
                </c:pt>
                <c:pt idx="57">
                  <c:v>-2.699031441807981</c:v>
                </c:pt>
                <c:pt idx="58">
                  <c:v>-2.6537444134348185</c:v>
                </c:pt>
                <c:pt idx="59">
                  <c:v>-2.6099223501172228</c:v>
                </c:pt>
                <c:pt idx="60">
                  <c:v>-2.5674946995681029</c:v>
                </c:pt>
                <c:pt idx="61">
                  <c:v>-2.52639534352882</c:v>
                </c:pt>
                <c:pt idx="62">
                  <c:v>-2.4865622535941845</c:v>
                </c:pt>
                <c:pt idx="63">
                  <c:v>-2.4479371785267845</c:v>
                </c:pt>
                <c:pt idx="64">
                  <c:v>-2.4104653597439265</c:v>
                </c:pt>
                <c:pt idx="65">
                  <c:v>-2.3740947070228668</c:v>
                </c:pt>
                <c:pt idx="66">
                  <c:v>-2.338684327133993</c:v>
                </c:pt>
                <c:pt idx="67">
                  <c:v>-2.3041256308906735</c:v>
                </c:pt>
                <c:pt idx="68">
                  <c:v>-2.2704200243627746</c:v>
                </c:pt>
                <c:pt idx="69">
                  <c:v>-2.2375142181197187</c:v>
                </c:pt>
                <c:pt idx="70">
                  <c:v>-2.2054331634440696</c:v>
                </c:pt>
                <c:pt idx="71">
                  <c:v>-2.1741005853667503</c:v>
                </c:pt>
                <c:pt idx="72">
                  <c:v>-2.1434810790007406</c:v>
                </c:pt>
                <c:pt idx="73">
                  <c:v>-2.1136342698519233</c:v>
                </c:pt>
                <c:pt idx="74">
                  <c:v>-2.0844540022409017</c:v>
                </c:pt>
                <c:pt idx="75">
                  <c:v>-2.0559081309437781</c:v>
                </c:pt>
                <c:pt idx="76">
                  <c:v>-2.0280902424821279</c:v>
                </c:pt>
                <c:pt idx="77">
                  <c:v>-2.0007310463913242</c:v>
                </c:pt>
                <c:pt idx="78">
                  <c:v>-1.9740614542229662</c:v>
                </c:pt>
                <c:pt idx="79">
                  <c:v>-1.9479281433668436</c:v>
                </c:pt>
                <c:pt idx="80">
                  <c:v>-1.9223032742153039</c:v>
                </c:pt>
                <c:pt idx="81">
                  <c:v>-1.8971593258090378</c:v>
                </c:pt>
                <c:pt idx="82">
                  <c:v>-1.8724689463349176</c:v>
                </c:pt>
                <c:pt idx="83">
                  <c:v>-1.8484139001609081</c:v>
                </c:pt>
                <c:pt idx="84">
                  <c:v>-1.8245638632151289</c:v>
                </c:pt>
                <c:pt idx="85">
                  <c:v>-1.8010858805431964</c:v>
                </c:pt>
                <c:pt idx="86">
                  <c:v>-1.7782083082310063</c:v>
                </c:pt>
                <c:pt idx="87">
                  <c:v>-1.7554081330233324</c:v>
                </c:pt>
                <c:pt idx="88">
                  <c:v>-1.7331885187465708</c:v>
                </c:pt>
                <c:pt idx="89">
                  <c:v>-1.7109523437578953</c:v>
                </c:pt>
                <c:pt idx="90">
                  <c:v>-1.6892793336137193</c:v>
                </c:pt>
                <c:pt idx="91">
                  <c:v>0</c:v>
                </c:pt>
                <c:pt idx="92">
                  <c:v>0</c:v>
                </c:pt>
                <c:pt idx="93">
                  <c:v>0</c:v>
                </c:pt>
                <c:pt idx="94">
                  <c:v>0</c:v>
                </c:pt>
                <c:pt idx="95">
                  <c:v>0</c:v>
                </c:pt>
              </c:numCache>
            </c:numRef>
          </c:yVal>
          <c:smooth val="0"/>
          <c:extLst>
            <c:ext xmlns:c16="http://schemas.microsoft.com/office/drawing/2014/chart" uri="{C3380CC4-5D6E-409C-BE32-E72D297353CC}">
              <c16:uniqueId val="{00000003-F9DB-4056-B516-9D0596D965E9}"/>
            </c:ext>
          </c:extLst>
        </c:ser>
        <c:dLbls>
          <c:showLegendKey val="0"/>
          <c:showVal val="0"/>
          <c:showCatName val="0"/>
          <c:showSerName val="0"/>
          <c:showPercent val="0"/>
          <c:showBubbleSize val="0"/>
        </c:dLbls>
        <c:axId val="163437128"/>
        <c:axId val="163437520"/>
      </c:scatterChart>
      <c:valAx>
        <c:axId val="163437128"/>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776119402985082"/>
              <c:y val="0.92941361741547401"/>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437520"/>
        <c:crossesAt val="0"/>
        <c:crossBetween val="midCat"/>
      </c:valAx>
      <c:valAx>
        <c:axId val="163437520"/>
        <c:scaling>
          <c:orientation val="minMax"/>
          <c:min val="0"/>
        </c:scaling>
        <c:delete val="0"/>
        <c:axPos val="l"/>
        <c:majorGridlines>
          <c:spPr>
            <a:ln w="3175">
              <a:solidFill>
                <a:srgbClr val="000000"/>
              </a:solidFill>
              <a:prstDash val="solid"/>
            </a:ln>
          </c:spPr>
        </c:majorGridlines>
        <c:title>
          <c:tx>
            <c:strRef>
              <c:f>TSData1!$X$3</c:f>
              <c:strCache>
                <c:ptCount val="1"/>
                <c:pt idx="0">
                  <c:v>Torque N*m</c:v>
                </c:pt>
              </c:strCache>
            </c:strRef>
          </c:tx>
          <c:layout>
            <c:manualLayout>
              <c:xMode val="edge"/>
              <c:yMode val="edge"/>
              <c:x val="4.7761194029850913E-2"/>
              <c:y val="0.45098121558334631"/>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63437128"/>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Peak and Continuous Current</a:t>
            </a:r>
          </a:p>
        </c:rich>
      </c:tx>
      <c:layout>
        <c:manualLayout>
          <c:xMode val="edge"/>
          <c:yMode val="edge"/>
          <c:x val="0.23492130150397891"/>
          <c:y val="4.1338582677165357E-2"/>
        </c:manualLayout>
      </c:layout>
      <c:overlay val="0"/>
      <c:spPr>
        <a:noFill/>
        <a:ln w="25400">
          <a:noFill/>
        </a:ln>
      </c:spPr>
    </c:title>
    <c:autoTitleDeleted val="0"/>
    <c:plotArea>
      <c:layout>
        <c:manualLayout>
          <c:layoutTarget val="inner"/>
          <c:xMode val="edge"/>
          <c:yMode val="edge"/>
          <c:x val="0.18730216797547194"/>
          <c:y val="0.16732299547378218"/>
          <c:w val="0.72381176776961731"/>
          <c:h val="0.70866209847719563"/>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TSData1!$K$5:$K$95</c:f>
              <c:numCache>
                <c:formatCode>General</c:formatCode>
                <c:ptCount val="91"/>
                <c:pt idx="0">
                  <c:v>109.05074838745945</c:v>
                </c:pt>
                <c:pt idx="1">
                  <c:v>109.02016993118131</c:v>
                </c:pt>
                <c:pt idx="2">
                  <c:v>108.98494838556252</c:v>
                </c:pt>
                <c:pt idx="3">
                  <c:v>108.94507924732171</c:v>
                </c:pt>
                <c:pt idx="4">
                  <c:v>108.9005574119256</c:v>
                </c:pt>
                <c:pt idx="5">
                  <c:v>108.85137717030686</c:v>
                </c:pt>
                <c:pt idx="6">
                  <c:v>108.79753220518428</c:v>
                </c:pt>
                <c:pt idx="7">
                  <c:v>108.73901558697887</c:v>
                </c:pt>
                <c:pt idx="8">
                  <c:v>108.67581976932017</c:v>
                </c:pt>
                <c:pt idx="9">
                  <c:v>108.60793658413596</c:v>
                </c:pt>
                <c:pt idx="10">
                  <c:v>108.53535723631744</c:v>
                </c:pt>
                <c:pt idx="11">
                  <c:v>108.45807229795207</c:v>
                </c:pt>
                <c:pt idx="12">
                  <c:v>108.37607170211494</c:v>
                </c:pt>
                <c:pt idx="13">
                  <c:v>108.28934473620907</c:v>
                </c:pt>
                <c:pt idx="14">
                  <c:v>108.19788003484412</c:v>
                </c:pt>
                <c:pt idx="15">
                  <c:v>108.10166557224227</c:v>
                </c:pt>
                <c:pt idx="16">
                  <c:v>108.00068865415956</c:v>
                </c:pt>
                <c:pt idx="17">
                  <c:v>107.8949359093091</c:v>
                </c:pt>
                <c:pt idx="18">
                  <c:v>107.78439328027289</c:v>
                </c:pt>
                <c:pt idx="19">
                  <c:v>107.66904601388723</c:v>
                </c:pt>
                <c:pt idx="20">
                  <c:v>107.5488786510859</c:v>
                </c:pt>
                <c:pt idx="21">
                  <c:v>107.42387501618458</c:v>
                </c:pt>
                <c:pt idx="22">
                  <c:v>107.29401820558823</c:v>
                </c:pt>
                <c:pt idx="23">
                  <c:v>107.15929057590276</c:v>
                </c:pt>
                <c:pt idx="24">
                  <c:v>107.0196737314305</c:v>
                </c:pt>
                <c:pt idx="25">
                  <c:v>106.87514851102813</c:v>
                </c:pt>
                <c:pt idx="26">
                  <c:v>106.72569497430413</c:v>
                </c:pt>
                <c:pt idx="27">
                  <c:v>106.57129238713166</c:v>
                </c:pt>
                <c:pt idx="28">
                  <c:v>106.4119192064508</c:v>
                </c:pt>
                <c:pt idx="29">
                  <c:v>106.24755306433337</c:v>
                </c:pt>
                <c:pt idx="30">
                  <c:v>106.07817075128068</c:v>
                </c:pt>
                <c:pt idx="31">
                  <c:v>105.90374819872429</c:v>
                </c:pt>
                <c:pt idx="32">
                  <c:v>105.72426046069626</c:v>
                </c:pt>
                <c:pt idx="33">
                  <c:v>105.53968169463511</c:v>
                </c:pt>
                <c:pt idx="34">
                  <c:v>105.34998514129015</c:v>
                </c:pt>
                <c:pt idx="35">
                  <c:v>105.15514310368576</c:v>
                </c:pt>
                <c:pt idx="36">
                  <c:v>104.95512692510363</c:v>
                </c:pt>
                <c:pt idx="37">
                  <c:v>104.74990696603983</c:v>
                </c:pt>
                <c:pt idx="38">
                  <c:v>104.53945258008959</c:v>
                </c:pt>
                <c:pt idx="39">
                  <c:v>104.32373208871032</c:v>
                </c:pt>
                <c:pt idx="40">
                  <c:v>104.10271275481068</c:v>
                </c:pt>
                <c:pt idx="41">
                  <c:v>103.87636075510947</c:v>
                </c:pt>
                <c:pt idx="42">
                  <c:v>103.64464115120514</c:v>
                </c:pt>
                <c:pt idx="43">
                  <c:v>103.40751785929265</c:v>
                </c:pt>
                <c:pt idx="44">
                  <c:v>103.16495361846086</c:v>
                </c:pt>
                <c:pt idx="45">
                  <c:v>102.91690995749846</c:v>
                </c:pt>
                <c:pt idx="46">
                  <c:v>102.66334716013263</c:v>
                </c:pt>
                <c:pt idx="47">
                  <c:v>102.40422422861955</c:v>
                </c:pt>
                <c:pt idx="48">
                  <c:v>102.13949884559982</c:v>
                </c:pt>
                <c:pt idx="49">
                  <c:v>101.869127334127</c:v>
                </c:pt>
                <c:pt idx="50">
                  <c:v>101.59306461577134</c:v>
                </c:pt>
                <c:pt idx="51">
                  <c:v>101.31126416669277</c:v>
                </c:pt>
                <c:pt idx="52">
                  <c:v>101.02367797157224</c:v>
                </c:pt>
                <c:pt idx="53">
                  <c:v>100.73025647528088</c:v>
                </c:pt>
                <c:pt idx="54">
                  <c:v>100.43094853215919</c:v>
                </c:pt>
                <c:pt idx="55">
                  <c:v>100.12570135276935</c:v>
                </c:pt>
                <c:pt idx="56">
                  <c:v>99.814460447973786</c:v>
                </c:pt>
                <c:pt idx="57">
                  <c:v>99.49716957018272</c:v>
                </c:pt>
                <c:pt idx="58">
                  <c:v>99.173770651602595</c:v>
                </c:pt>
                <c:pt idx="59">
                  <c:v>98.844203739304106</c:v>
                </c:pt>
                <c:pt idx="60">
                  <c:v>98.508406926915924</c:v>
                </c:pt>
                <c:pt idx="61">
                  <c:v>98.166316282735522</c:v>
                </c:pt>
                <c:pt idx="62">
                  <c:v>97.817865774032711</c:v>
                </c:pt>
                <c:pt idx="63">
                  <c:v>97.46298718730462</c:v>
                </c:pt>
                <c:pt idx="64">
                  <c:v>97.1016100442219</c:v>
                </c:pt>
                <c:pt idx="65">
                  <c:v>96.73366151298616</c:v>
                </c:pt>
                <c:pt idx="66">
                  <c:v>96.359066314795896</c:v>
                </c:pt>
                <c:pt idx="67">
                  <c:v>95.977746625094781</c:v>
                </c:pt>
                <c:pt idx="68">
                  <c:v>95.589621969249166</c:v>
                </c:pt>
                <c:pt idx="69">
                  <c:v>95.194609112272971</c:v>
                </c:pt>
                <c:pt idx="70">
                  <c:v>94.79262194218667</c:v>
                </c:pt>
                <c:pt idx="71">
                  <c:v>94.383571346562348</c:v>
                </c:pt>
                <c:pt idx="72">
                  <c:v>93.967365081768321</c:v>
                </c:pt>
                <c:pt idx="73">
                  <c:v>93.543907634385491</c:v>
                </c:pt>
                <c:pt idx="74">
                  <c:v>93.113100074221407</c:v>
                </c:pt>
                <c:pt idx="75">
                  <c:v>92.674839898296568</c:v>
                </c:pt>
                <c:pt idx="76">
                  <c:v>92.229020865122735</c:v>
                </c:pt>
                <c:pt idx="77">
                  <c:v>91.775532818529541</c:v>
                </c:pt>
                <c:pt idx="78">
                  <c:v>91.31426150022871</c:v>
                </c:pt>
                <c:pt idx="79">
                  <c:v>90.845088350227968</c:v>
                </c:pt>
                <c:pt idx="80">
                  <c:v>90.367890294123313</c:v>
                </c:pt>
                <c:pt idx="81">
                  <c:v>89.882539516204645</c:v>
                </c:pt>
                <c:pt idx="82">
                  <c:v>89.38890321720524</c:v>
                </c:pt>
                <c:pt idx="83">
                  <c:v>88.886843355409411</c:v>
                </c:pt>
                <c:pt idx="84">
                  <c:v>88.376216369703826</c:v>
                </c:pt>
                <c:pt idx="85">
                  <c:v>87.856872883011988</c:v>
                </c:pt>
                <c:pt idx="86">
                  <c:v>87.328657384389913</c:v>
                </c:pt>
                <c:pt idx="87">
                  <c:v>86.791407887877938</c:v>
                </c:pt>
                <c:pt idx="88">
                  <c:v>86.244955565999618</c:v>
                </c:pt>
                <c:pt idx="89">
                  <c:v>85.689124355567486</c:v>
                </c:pt>
                <c:pt idx="90">
                  <c:v>85.123730533194902</c:v>
                </c:pt>
              </c:numCache>
            </c:numRef>
          </c:yVal>
          <c:smooth val="0"/>
          <c:extLst>
            <c:ext xmlns:c16="http://schemas.microsoft.com/office/drawing/2014/chart" uri="{C3380CC4-5D6E-409C-BE32-E72D297353CC}">
              <c16:uniqueId val="{00000000-22B7-4F29-8622-6BE4BAC76400}"/>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TSData1!$L$5:$L$95</c:f>
              <c:numCache>
                <c:formatCode>General</c:formatCode>
                <c:ptCount val="91"/>
                <c:pt idx="0">
                  <c:v>545.25374193729726</c:v>
                </c:pt>
                <c:pt idx="1">
                  <c:v>545.2476270691908</c:v>
                </c:pt>
                <c:pt idx="2">
                  <c:v>545.24058574849641</c:v>
                </c:pt>
                <c:pt idx="3">
                  <c:v>545.23261793932033</c:v>
                </c:pt>
                <c:pt idx="4">
                  <c:v>545.22372360104418</c:v>
                </c:pt>
                <c:pt idx="5">
                  <c:v>545.21390268832295</c:v>
                </c:pt>
                <c:pt idx="6">
                  <c:v>545.20315515108484</c:v>
                </c:pt>
                <c:pt idx="7">
                  <c:v>545.19148093452907</c:v>
                </c:pt>
                <c:pt idx="8">
                  <c:v>545.17887997912521</c:v>
                </c:pt>
                <c:pt idx="9">
                  <c:v>545.16535222061157</c:v>
                </c:pt>
                <c:pt idx="10">
                  <c:v>545.15089758999272</c:v>
                </c:pt>
                <c:pt idx="11">
                  <c:v>545.13551601353913</c:v>
                </c:pt>
                <c:pt idx="12">
                  <c:v>545.11920741278391</c:v>
                </c:pt>
                <c:pt idx="13">
                  <c:v>545.10197170452182</c:v>
                </c:pt>
                <c:pt idx="14">
                  <c:v>545.08380880080654</c:v>
                </c:pt>
                <c:pt idx="15">
                  <c:v>545.06471860894885</c:v>
                </c:pt>
                <c:pt idx="16">
                  <c:v>545.04470103151402</c:v>
                </c:pt>
                <c:pt idx="17">
                  <c:v>545.02375596631896</c:v>
                </c:pt>
                <c:pt idx="18">
                  <c:v>545.00188330643061</c:v>
                </c:pt>
                <c:pt idx="19">
                  <c:v>544.97908294016224</c:v>
                </c:pt>
                <c:pt idx="20">
                  <c:v>544.95535475107113</c:v>
                </c:pt>
                <c:pt idx="21">
                  <c:v>544.93069861795504</c:v>
                </c:pt>
                <c:pt idx="22">
                  <c:v>544.90511441485</c:v>
                </c:pt>
                <c:pt idx="23">
                  <c:v>544.87860201102637</c:v>
                </c:pt>
                <c:pt idx="24">
                  <c:v>544.85116127098559</c:v>
                </c:pt>
                <c:pt idx="25">
                  <c:v>544.82279205445707</c:v>
                </c:pt>
                <c:pt idx="26">
                  <c:v>544.79349421639381</c:v>
                </c:pt>
                <c:pt idx="27">
                  <c:v>544.76326760696998</c:v>
                </c:pt>
                <c:pt idx="28">
                  <c:v>524.50512983448414</c:v>
                </c:pt>
                <c:pt idx="29">
                  <c:v>507.8379502113055</c:v>
                </c:pt>
                <c:pt idx="30">
                  <c:v>492.22066300707218</c:v>
                </c:pt>
                <c:pt idx="31">
                  <c:v>477.55784041300103</c:v>
                </c:pt>
                <c:pt idx="32">
                  <c:v>463.76528197182745</c:v>
                </c:pt>
                <c:pt idx="33">
                  <c:v>450.7684106730494</c:v>
                </c:pt>
                <c:pt idx="34">
                  <c:v>438.50093636571637</c:v>
                </c:pt>
                <c:pt idx="35">
                  <c:v>426.90373591517653</c:v>
                </c:pt>
                <c:pt idx="36">
                  <c:v>415.92391017725947</c:v>
                </c:pt>
                <c:pt idx="37">
                  <c:v>405.51398605343877</c:v>
                </c:pt>
                <c:pt idx="38">
                  <c:v>395.63123823779756</c:v>
                </c:pt>
                <c:pt idx="39">
                  <c:v>386.23711022061644</c:v>
                </c:pt>
                <c:pt idx="40">
                  <c:v>372.98666945177388</c:v>
                </c:pt>
                <c:pt idx="41">
                  <c:v>364.66847069173105</c:v>
                </c:pt>
                <c:pt idx="42">
                  <c:v>356.73020362426513</c:v>
                </c:pt>
                <c:pt idx="43">
                  <c:v>349.14683540962881</c:v>
                </c:pt>
                <c:pt idx="44">
                  <c:v>341.89548700257956</c:v>
                </c:pt>
                <c:pt idx="45">
                  <c:v>334.95520643994797</c:v>
                </c:pt>
                <c:pt idx="46">
                  <c:v>328.30677017517678</c:v>
                </c:pt>
                <c:pt idx="47">
                  <c:v>318.84305797343649</c:v>
                </c:pt>
                <c:pt idx="48">
                  <c:v>312.84995232503303</c:v>
                </c:pt>
                <c:pt idx="49">
                  <c:v>307.09267891270724</c:v>
                </c:pt>
                <c:pt idx="50">
                  <c:v>301.55790675869474</c:v>
                </c:pt>
                <c:pt idx="51">
                  <c:v>293.64618566089342</c:v>
                </c:pt>
                <c:pt idx="52">
                  <c:v>288.61560792498943</c:v>
                </c:pt>
                <c:pt idx="53">
                  <c:v>283.76808656348106</c:v>
                </c:pt>
                <c:pt idx="54">
                  <c:v>276.81936278295564</c:v>
                </c:pt>
                <c:pt idx="55">
                  <c:v>272.38918922820204</c:v>
                </c:pt>
                <c:pt idx="56">
                  <c:v>268.11144322235219</c:v>
                </c:pt>
                <c:pt idx="57">
                  <c:v>261.96440098598509</c:v>
                </c:pt>
                <c:pt idx="58">
                  <c:v>258.03605347602343</c:v>
                </c:pt>
                <c:pt idx="59">
                  <c:v>252.38219193487706</c:v>
                </c:pt>
                <c:pt idx="60">
                  <c:v>248.76351736474277</c:v>
                </c:pt>
                <c:pt idx="61">
                  <c:v>243.54781700317818</c:v>
                </c:pt>
                <c:pt idx="62">
                  <c:v>240.20491276585895</c:v>
                </c:pt>
                <c:pt idx="63">
                  <c:v>235.38027550409166</c:v>
                </c:pt>
                <c:pt idx="64">
                  <c:v>232.28403386000275</c:v>
                </c:pt>
                <c:pt idx="65">
                  <c:v>227.80990856125337</c:v>
                </c:pt>
                <c:pt idx="66">
                  <c:v>224.93519895718268</c:v>
                </c:pt>
                <c:pt idx="67">
                  <c:v>220.77648355784726</c:v>
                </c:pt>
                <c:pt idx="68">
                  <c:v>218.10149677293148</c:v>
                </c:pt>
                <c:pt idx="69">
                  <c:v>214.2276541992469</c:v>
                </c:pt>
                <c:pt idx="70">
                  <c:v>211.73337215022411</c:v>
                </c:pt>
                <c:pt idx="71">
                  <c:v>208.11771298423514</c:v>
                </c:pt>
                <c:pt idx="72">
                  <c:v>204.64553083611227</c:v>
                </c:pt>
                <c:pt idx="73">
                  <c:v>202.40657329828309</c:v>
                </c:pt>
                <c:pt idx="74">
                  <c:v>199.15645117818735</c:v>
                </c:pt>
                <c:pt idx="75">
                  <c:v>197.05893329157391</c:v>
                </c:pt>
                <c:pt idx="76">
                  <c:v>194.01169414256037</c:v>
                </c:pt>
                <c:pt idx="77">
                  <c:v>192.04358476514855</c:v>
                </c:pt>
                <c:pt idx="78">
                  <c:v>189.1822254364078</c:v>
                </c:pt>
                <c:pt idx="79">
                  <c:v>186.42502363756103</c:v>
                </c:pt>
                <c:pt idx="80">
                  <c:v>184.6422314671083</c:v>
                </c:pt>
                <c:pt idx="81">
                  <c:v>182.04749972571705</c:v>
                </c:pt>
                <c:pt idx="82">
                  <c:v>180.36868679718023</c:v>
                </c:pt>
                <c:pt idx="83">
                  <c:v>177.92379405084756</c:v>
                </c:pt>
                <c:pt idx="84">
                  <c:v>175.56329081237763</c:v>
                </c:pt>
                <c:pt idx="85">
                  <c:v>173.28335445248229</c:v>
                </c:pt>
                <c:pt idx="86">
                  <c:v>171.80637470269656</c:v>
                </c:pt>
                <c:pt idx="87">
                  <c:v>169.65284760178102</c:v>
                </c:pt>
                <c:pt idx="88">
                  <c:v>167.57078798331466</c:v>
                </c:pt>
                <c:pt idx="89">
                  <c:v>165.55714792645222</c:v>
                </c:pt>
                <c:pt idx="90">
                  <c:v>164.25130731143921</c:v>
                </c:pt>
              </c:numCache>
            </c:numRef>
          </c:yVal>
          <c:smooth val="0"/>
          <c:extLst>
            <c:ext xmlns:c16="http://schemas.microsoft.com/office/drawing/2014/chart" uri="{C3380CC4-5D6E-409C-BE32-E72D297353CC}">
              <c16:uniqueId val="{00000001-22B7-4F29-8622-6BE4BAC76400}"/>
            </c:ext>
          </c:extLst>
        </c:ser>
        <c:dLbls>
          <c:showLegendKey val="0"/>
          <c:showVal val="0"/>
          <c:showCatName val="0"/>
          <c:showSerName val="0"/>
          <c:showPercent val="0"/>
          <c:showBubbleSize val="0"/>
        </c:dLbls>
        <c:axId val="565872672"/>
        <c:axId val="565873064"/>
      </c:scatterChart>
      <c:valAx>
        <c:axId val="565872672"/>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444577761113174"/>
              <c:y val="0.9291346849360364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3064"/>
        <c:crosses val="autoZero"/>
        <c:crossBetween val="midCat"/>
      </c:valAx>
      <c:valAx>
        <c:axId val="565873064"/>
        <c:scaling>
          <c:orientation val="minMax"/>
          <c:min val="0"/>
        </c:scaling>
        <c:delete val="0"/>
        <c:axPos val="l"/>
        <c:majorGridlines>
          <c:spPr>
            <a:ln w="3175">
              <a:solidFill>
                <a:srgbClr val="000000"/>
              </a:solidFill>
              <a:prstDash val="solid"/>
            </a:ln>
          </c:spPr>
        </c:majorGridlines>
        <c:title>
          <c:tx>
            <c:strRef>
              <c:f>TSData1!$AD$2</c:f>
              <c:strCache>
                <c:ptCount val="1"/>
                <c:pt idx="0">
                  <c:v>Current Amps Peak of Sine</c:v>
                </c:pt>
              </c:strCache>
            </c:strRef>
          </c:tx>
          <c:layout>
            <c:manualLayout>
              <c:xMode val="edge"/>
              <c:yMode val="edge"/>
              <c:x val="5.0793650793650794E-2"/>
              <c:y val="0.37007915349164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267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1" i="0" u="none" strike="noStrike" baseline="0">
                <a:solidFill>
                  <a:srgbClr val="000000"/>
                </a:solidFill>
                <a:latin typeface="Arial"/>
                <a:ea typeface="Arial"/>
                <a:cs typeface="Arial"/>
              </a:defRPr>
            </a:pPr>
            <a:r>
              <a:rPr lang="en-US"/>
              <a:t>Output Power</a:t>
            </a:r>
          </a:p>
        </c:rich>
      </c:tx>
      <c:layout>
        <c:manualLayout>
          <c:xMode val="edge"/>
          <c:yMode val="edge"/>
          <c:x val="0.35216016602576017"/>
          <c:y val="2.9527559055118027E-2"/>
        </c:manualLayout>
      </c:layout>
      <c:overlay val="0"/>
      <c:spPr>
        <a:noFill/>
        <a:ln w="25400">
          <a:noFill/>
        </a:ln>
      </c:spPr>
    </c:title>
    <c:autoTitleDeleted val="0"/>
    <c:plotArea>
      <c:layout>
        <c:manualLayout>
          <c:layoutTarget val="inner"/>
          <c:xMode val="edge"/>
          <c:yMode val="edge"/>
          <c:x val="0.20598040058594036"/>
          <c:y val="0.13385839637902591"/>
          <c:w val="0.70099781489730661"/>
          <c:h val="0.74212669757195182"/>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TSData1!$P$5:$P$95</c:f>
              <c:numCache>
                <c:formatCode>General</c:formatCode>
                <c:ptCount val="91"/>
                <c:pt idx="0">
                  <c:v>0</c:v>
                </c:pt>
                <c:pt idx="1">
                  <c:v>0.341424422680353</c:v>
                </c:pt>
                <c:pt idx="2">
                  <c:v>0.68248693852164233</c:v>
                </c:pt>
                <c:pt idx="3">
                  <c:v>1.0231449902954959</c:v>
                </c:pt>
                <c:pt idx="4">
                  <c:v>1.3633559506845501</c:v>
                </c:pt>
                <c:pt idx="5">
                  <c:v>1.7030771119065755</c:v>
                </c:pt>
                <c:pt idx="6">
                  <c:v>2.0422656752628185</c:v>
                </c:pt>
                <c:pt idx="7">
                  <c:v>2.3808787406008394</c:v>
                </c:pt>
                <c:pt idx="8">
                  <c:v>2.7188732956819841</c:v>
                </c:pt>
                <c:pt idx="9">
                  <c:v>3.0562062054434405</c:v>
                </c:pt>
                <c:pt idx="10">
                  <c:v>3.3928342011445758</c:v>
                </c:pt>
                <c:pt idx="11">
                  <c:v>3.7287138693870876</c:v>
                </c:pt>
                <c:pt idx="12">
                  <c:v>4.0638016409981743</c:v>
                </c:pt>
                <c:pt idx="13">
                  <c:v>4.3980537797657151</c:v>
                </c:pt>
                <c:pt idx="14">
                  <c:v>4.7314263710140958</c:v>
                </c:pt>
                <c:pt idx="15">
                  <c:v>5.063875310009017</c:v>
                </c:pt>
                <c:pt idx="16">
                  <c:v>5.3953562901792917</c:v>
                </c:pt>
                <c:pt idx="17">
                  <c:v>5.725824791143169</c:v>
                </c:pt>
                <c:pt idx="18">
                  <c:v>6.0552360665264287</c:v>
                </c:pt>
                <c:pt idx="19">
                  <c:v>6.3835451315589342</c:v>
                </c:pt>
                <c:pt idx="20">
                  <c:v>6.7107067504359783</c:v>
                </c:pt>
                <c:pt idx="21">
                  <c:v>7.0366754234301245</c:v>
                </c:pt>
                <c:pt idx="22">
                  <c:v>7.3614053737387817</c:v>
                </c:pt>
                <c:pt idx="23">
                  <c:v>7.6848505340521536</c:v>
                </c:pt>
                <c:pt idx="24">
                  <c:v>8.0069645328256129</c:v>
                </c:pt>
                <c:pt idx="25">
                  <c:v>8.3277006802397455</c:v>
                </c:pt>
                <c:pt idx="26">
                  <c:v>8.6470119538308392</c:v>
                </c:pt>
                <c:pt idx="27">
                  <c:v>8.9648509837736015</c:v>
                </c:pt>
                <c:pt idx="28">
                  <c:v>9.2811700377972386</c:v>
                </c:pt>
                <c:pt idx="29">
                  <c:v>9.5959210057150433</c:v>
                </c:pt>
                <c:pt idx="30">
                  <c:v>9.90905538354688</c:v>
                </c:pt>
                <c:pt idx="31">
                  <c:v>10.220524257212762</c:v>
                </c:pt>
                <c:pt idx="32">
                  <c:v>10.530278285774868</c:v>
                </c:pt>
                <c:pt idx="33">
                  <c:v>10.838267684204064</c:v>
                </c:pt>
                <c:pt idx="34">
                  <c:v>11.144442205645912</c:v>
                </c:pt>
                <c:pt idx="35">
                  <c:v>11.448751123159859</c:v>
                </c:pt>
                <c:pt idx="36">
                  <c:v>11.751143210903741</c:v>
                </c:pt>
                <c:pt idx="37">
                  <c:v>12.051566724734711</c:v>
                </c:pt>
                <c:pt idx="38">
                  <c:v>12.349969382195587</c:v>
                </c:pt>
                <c:pt idx="39">
                  <c:v>12.646298341854429</c:v>
                </c:pt>
                <c:pt idx="40">
                  <c:v>12.94050018196311</c:v>
                </c:pt>
                <c:pt idx="41">
                  <c:v>13.232520878398788</c:v>
                </c:pt>
                <c:pt idx="42">
                  <c:v>13.522305781850164</c:v>
                </c:pt>
                <c:pt idx="43">
                  <c:v>13.809799594208293</c:v>
                </c:pt>
                <c:pt idx="44">
                  <c:v>14.094946344119199</c:v>
                </c:pt>
                <c:pt idx="45">
                  <c:v>14.377689361653237</c:v>
                </c:pt>
                <c:pt idx="46">
                  <c:v>14.657971252043223</c:v>
                </c:pt>
                <c:pt idx="47">
                  <c:v>14.935733868440813</c:v>
                </c:pt>
                <c:pt idx="48">
                  <c:v>15.210918283636987</c:v>
                </c:pt>
                <c:pt idx="49">
                  <c:v>15.483464760689705</c:v>
                </c:pt>
                <c:pt idx="50">
                  <c:v>15.75331272239791</c:v>
                </c:pt>
                <c:pt idx="51">
                  <c:v>16.02040071955712</c:v>
                </c:pt>
                <c:pt idx="52">
                  <c:v>16.284666397928007</c:v>
                </c:pt>
                <c:pt idx="53">
                  <c:v>16.546046463844551</c:v>
                </c:pt>
                <c:pt idx="54">
                  <c:v>16.804476648383861</c:v>
                </c:pt>
                <c:pt idx="55">
                  <c:v>17.059891670014125</c:v>
                </c:pt>
                <c:pt idx="56">
                  <c:v>17.312225195631946</c:v>
                </c:pt>
                <c:pt idx="57">
                  <c:v>17.561409799894086</c:v>
                </c:pt>
                <c:pt idx="58">
                  <c:v>17.807376922741874</c:v>
                </c:pt>
                <c:pt idx="59">
                  <c:v>18.050056825009765</c:v>
                </c:pt>
                <c:pt idx="60">
                  <c:v>18.289378542001497</c:v>
                </c:pt>
                <c:pt idx="61">
                  <c:v>18.525269834909242</c:v>
                </c:pt>
                <c:pt idx="62">
                  <c:v>18.75765713994177</c:v>
                </c:pt>
                <c:pt idx="63">
                  <c:v>18.986465515018057</c:v>
                </c:pt>
                <c:pt idx="64">
                  <c:v>19.21161858387185</c:v>
                </c:pt>
                <c:pt idx="65">
                  <c:v>19.433038477401173</c:v>
                </c:pt>
                <c:pt idx="66">
                  <c:v>19.650523742855217</c:v>
                </c:pt>
                <c:pt idx="67">
                  <c:v>19.843509015556123</c:v>
                </c:pt>
                <c:pt idx="68">
                  <c:v>19.996183624155265</c:v>
                </c:pt>
                <c:pt idx="69">
                  <c:v>20.116614342084482</c:v>
                </c:pt>
                <c:pt idx="70">
                  <c:v>20.200604725998545</c:v>
                </c:pt>
                <c:pt idx="71">
                  <c:v>20.262067234913868</c:v>
                </c:pt>
                <c:pt idx="72">
                  <c:v>20.291225498821358</c:v>
                </c:pt>
                <c:pt idx="73">
                  <c:v>20.287548711104073</c:v>
                </c:pt>
                <c:pt idx="74">
                  <c:v>20.273114824575245</c:v>
                </c:pt>
                <c:pt idx="75">
                  <c:v>20.23020889042288</c:v>
                </c:pt>
                <c:pt idx="76">
                  <c:v>20.158540668786802</c:v>
                </c:pt>
                <c:pt idx="77">
                  <c:v>20.087627590069502</c:v>
                </c:pt>
                <c:pt idx="78">
                  <c:v>19.960281694937581</c:v>
                </c:pt>
                <c:pt idx="79">
                  <c:v>19.838127083399879</c:v>
                </c:pt>
                <c:pt idx="80">
                  <c:v>19.691328046382843</c:v>
                </c:pt>
                <c:pt idx="81">
                  <c:v>19.519843984652535</c:v>
                </c:pt>
                <c:pt idx="82">
                  <c:v>19.323677457588445</c:v>
                </c:pt>
                <c:pt idx="83">
                  <c:v>19.102874774644633</c:v>
                </c:pt>
                <c:pt idx="84">
                  <c:v>18.902861761071119</c:v>
                </c:pt>
                <c:pt idx="85">
                  <c:v>18.635267635624956</c:v>
                </c:pt>
                <c:pt idx="86">
                  <c:v>18.343417391116617</c:v>
                </c:pt>
                <c:pt idx="87">
                  <c:v>18.079050599868925</c:v>
                </c:pt>
                <c:pt idx="88">
                  <c:v>17.741478991148455</c:v>
                </c:pt>
                <c:pt idx="89">
                  <c:v>17.435833738949302</c:v>
                </c:pt>
                <c:pt idx="90">
                  <c:v>17.053647703667519</c:v>
                </c:pt>
              </c:numCache>
            </c:numRef>
          </c:yVal>
          <c:smooth val="0"/>
          <c:extLst>
            <c:ext xmlns:c16="http://schemas.microsoft.com/office/drawing/2014/chart" uri="{C3380CC4-5D6E-409C-BE32-E72D297353CC}">
              <c16:uniqueId val="{00000000-F0E1-4150-B5B6-6B9BAF7529FA}"/>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TSData1!$Q$5:$Q$95</c:f>
              <c:numCache>
                <c:formatCode>General</c:formatCode>
                <c:ptCount val="91"/>
                <c:pt idx="0">
                  <c:v>0</c:v>
                </c:pt>
                <c:pt idx="1">
                  <c:v>0.9161844406013292</c:v>
                </c:pt>
                <c:pt idx="2">
                  <c:v>1.8322121724885858</c:v>
                </c:pt>
                <c:pt idx="3">
                  <c:v>2.7480812744148504</c:v>
                </c:pt>
                <c:pt idx="4">
                  <c:v>3.6637898250208969</c:v>
                </c:pt>
                <c:pt idx="5">
                  <c:v>4.57933590281886</c:v>
                </c:pt>
                <c:pt idx="6">
                  <c:v>5.4947175861758915</c:v>
                </c:pt>
                <c:pt idx="7">
                  <c:v>6.4099329532978171</c:v>
                </c:pt>
                <c:pt idx="8">
                  <c:v>7.3249800822127904</c:v>
                </c:pt>
                <c:pt idx="9">
                  <c:v>8.2398570507549369</c:v>
                </c:pt>
                <c:pt idx="10">
                  <c:v>9.1545619365479798</c:v>
                </c:pt>
                <c:pt idx="11">
                  <c:v>10.069092816988881</c:v>
                </c:pt>
                <c:pt idx="12">
                  <c:v>10.98344776923145</c:v>
                </c:pt>
                <c:pt idx="13">
                  <c:v>11.89762487016997</c:v>
                </c:pt>
                <c:pt idx="14">
                  <c:v>12.811622196422775</c:v>
                </c:pt>
                <c:pt idx="15">
                  <c:v>13.725437824315872</c:v>
                </c:pt>
                <c:pt idx="16">
                  <c:v>14.639069829866498</c:v>
                </c:pt>
                <c:pt idx="17">
                  <c:v>15.552516288766695</c:v>
                </c:pt>
                <c:pt idx="18">
                  <c:v>16.465775276366887</c:v>
                </c:pt>
                <c:pt idx="19">
                  <c:v>17.378844867659389</c:v>
                </c:pt>
                <c:pt idx="20">
                  <c:v>18.291723137261968</c:v>
                </c:pt>
                <c:pt idx="21">
                  <c:v>19.204408159401364</c:v>
                </c:pt>
                <c:pt idx="22">
                  <c:v>20.116898007896769</c:v>
                </c:pt>
                <c:pt idx="23">
                  <c:v>21.029190756143336</c:v>
                </c:pt>
                <c:pt idx="24">
                  <c:v>21.941284477095657</c:v>
                </c:pt>
                <c:pt idx="25">
                  <c:v>22.853177243251217</c:v>
                </c:pt>
                <c:pt idx="26">
                  <c:v>23.764867126633792</c:v>
                </c:pt>
                <c:pt idx="27">
                  <c:v>24.423271642049446</c:v>
                </c:pt>
                <c:pt idx="28">
                  <c:v>24.643745260466023</c:v>
                </c:pt>
                <c:pt idx="29">
                  <c:v>25.156811089001632</c:v>
                </c:pt>
                <c:pt idx="30">
                  <c:v>25.665555787859216</c:v>
                </c:pt>
                <c:pt idx="31">
                  <c:v>26.170034945299193</c:v>
                </c:pt>
                <c:pt idx="32">
                  <c:v>26.670288814057123</c:v>
                </c:pt>
                <c:pt idx="33">
                  <c:v>27.16634453480167</c:v>
                </c:pt>
                <c:pt idx="34">
                  <c:v>27.658217990021065</c:v>
                </c:pt>
                <c:pt idx="35">
                  <c:v>28.145915358253415</c:v>
                </c:pt>
                <c:pt idx="36">
                  <c:v>28.629434423857017</c:v>
                </c:pt>
                <c:pt idx="37">
                  <c:v>29.108765686194761</c:v>
                </c:pt>
                <c:pt idx="38">
                  <c:v>29.583893303331394</c:v>
                </c:pt>
                <c:pt idx="39">
                  <c:v>30.054795898494376</c:v>
                </c:pt>
                <c:pt idx="40">
                  <c:v>30.37497033063779</c:v>
                </c:pt>
                <c:pt idx="41">
                  <c:v>30.83882712950394</c:v>
                </c:pt>
                <c:pt idx="42">
                  <c:v>31.298231066861639</c:v>
                </c:pt>
                <c:pt idx="43">
                  <c:v>31.753151799046908</c:v>
                </c:pt>
                <c:pt idx="44">
                  <c:v>32.203555521007466</c:v>
                </c:pt>
                <c:pt idx="45">
                  <c:v>32.649405363971219</c:v>
                </c:pt>
                <c:pt idx="46">
                  <c:v>33.09066174462577</c:v>
                </c:pt>
                <c:pt idx="47">
                  <c:v>33.390369750672981</c:v>
                </c:pt>
                <c:pt idx="48">
                  <c:v>33.822885878680182</c:v>
                </c:pt>
                <c:pt idx="49">
                  <c:v>34.250583759000989</c:v>
                </c:pt>
                <c:pt idx="50">
                  <c:v>34.668481284866481</c:v>
                </c:pt>
                <c:pt idx="51">
                  <c:v>34.909450816187835</c:v>
                </c:pt>
                <c:pt idx="52">
                  <c:v>35.270502270155411</c:v>
                </c:pt>
                <c:pt idx="53">
                  <c:v>35.609236531941853</c:v>
                </c:pt>
                <c:pt idx="54">
                  <c:v>35.748710827605699</c:v>
                </c:pt>
                <c:pt idx="55">
                  <c:v>36.039403574429087</c:v>
                </c:pt>
                <c:pt idx="56">
                  <c:v>36.311139301395727</c:v>
                </c:pt>
                <c:pt idx="57">
                  <c:v>36.368049868010097</c:v>
                </c:pt>
                <c:pt idx="58">
                  <c:v>36.599371870433124</c:v>
                </c:pt>
                <c:pt idx="59">
                  <c:v>36.607932050761434</c:v>
                </c:pt>
                <c:pt idx="60">
                  <c:v>36.803271581958299</c:v>
                </c:pt>
                <c:pt idx="61">
                  <c:v>36.769678626748728</c:v>
                </c:pt>
                <c:pt idx="62">
                  <c:v>36.932777356570064</c:v>
                </c:pt>
                <c:pt idx="63">
                  <c:v>36.862214068396462</c:v>
                </c:pt>
                <c:pt idx="64">
                  <c:v>36.99625543712051</c:v>
                </c:pt>
                <c:pt idx="65">
                  <c:v>36.893085802592367</c:v>
                </c:pt>
                <c:pt idx="66">
                  <c:v>37.000797269219838</c:v>
                </c:pt>
                <c:pt idx="67">
                  <c:v>36.868718898644929</c:v>
                </c:pt>
                <c:pt idx="68">
                  <c:v>36.952452320685083</c:v>
                </c:pt>
                <c:pt idx="69">
                  <c:v>36.794616319460488</c:v>
                </c:pt>
                <c:pt idx="70">
                  <c:v>36.856411720974066</c:v>
                </c:pt>
                <c:pt idx="71">
                  <c:v>36.675517751070736</c:v>
                </c:pt>
                <c:pt idx="72">
                  <c:v>36.48390777936352</c:v>
                </c:pt>
                <c:pt idx="73">
                  <c:v>36.51552660412095</c:v>
                </c:pt>
                <c:pt idx="74">
                  <c:v>36.30437859113205</c:v>
                </c:pt>
                <c:pt idx="75">
                  <c:v>36.318212335033877</c:v>
                </c:pt>
                <c:pt idx="76">
                  <c:v>36.089370534298112</c:v>
                </c:pt>
                <c:pt idx="77">
                  <c:v>36.086693465724679</c:v>
                </c:pt>
                <c:pt idx="78">
                  <c:v>35.841763437816461</c:v>
                </c:pt>
                <c:pt idx="79">
                  <c:v>35.589681618008377</c:v>
                </c:pt>
                <c:pt idx="80">
                  <c:v>35.564089733108268</c:v>
                </c:pt>
                <c:pt idx="81">
                  <c:v>35.298031986331722</c:v>
                </c:pt>
                <c:pt idx="82">
                  <c:v>35.258583875959268</c:v>
                </c:pt>
                <c:pt idx="83">
                  <c:v>34.979687606669955</c:v>
                </c:pt>
                <c:pt idx="84">
                  <c:v>34.695272015066529</c:v>
                </c:pt>
                <c:pt idx="85">
                  <c:v>34.405616550118339</c:v>
                </c:pt>
                <c:pt idx="86">
                  <c:v>34.340734535963144</c:v>
                </c:pt>
                <c:pt idx="87">
                  <c:v>34.040199443341955</c:v>
                </c:pt>
                <c:pt idx="88">
                  <c:v>33.735106203358804</c:v>
                </c:pt>
                <c:pt idx="89">
                  <c:v>33.425658476153053</c:v>
                </c:pt>
                <c:pt idx="90">
                  <c:v>33.338312627074686</c:v>
                </c:pt>
              </c:numCache>
            </c:numRef>
          </c:yVal>
          <c:smooth val="0"/>
          <c:extLst>
            <c:ext xmlns:c16="http://schemas.microsoft.com/office/drawing/2014/chart" uri="{C3380CC4-5D6E-409C-BE32-E72D297353CC}">
              <c16:uniqueId val="{00000001-F0E1-4150-B5B6-6B9BAF7529FA}"/>
            </c:ext>
          </c:extLst>
        </c:ser>
        <c:ser>
          <c:idx val="2"/>
          <c:order val="2"/>
          <c:spPr>
            <a:ln w="25400">
              <a:solidFill>
                <a:srgbClr val="FF6600"/>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TSData1!$U$5:$U$95</c:f>
              <c:numCache>
                <c:formatCode>General</c:formatCode>
                <c:ptCount val="91"/>
                <c:pt idx="0">
                  <c:v>0</c:v>
                </c:pt>
                <c:pt idx="1">
                  <c:v>9.7016448027679081E-4</c:v>
                </c:pt>
                <c:pt idx="2">
                  <c:v>2.0873033455194962E-3</c:v>
                </c:pt>
                <c:pt idx="3">
                  <c:v>3.3514165957281147E-3</c:v>
                </c:pt>
                <c:pt idx="4">
                  <c:v>4.7625042309026476E-3</c:v>
                </c:pt>
                <c:pt idx="5">
                  <c:v>6.3205662510430922E-3</c:v>
                </c:pt>
                <c:pt idx="6">
                  <c:v>8.025602656149454E-3</c:v>
                </c:pt>
                <c:pt idx="7">
                  <c:v>9.8776134462217301E-3</c:v>
                </c:pt>
                <c:pt idx="8">
                  <c:v>1.1876598621259915E-2</c:v>
                </c:pt>
                <c:pt idx="9">
                  <c:v>1.4022558181264017E-2</c:v>
                </c:pt>
                <c:pt idx="10">
                  <c:v>1.6315492126234031E-2</c:v>
                </c:pt>
                <c:pt idx="11">
                  <c:v>1.8755400456169965E-2</c:v>
                </c:pt>
                <c:pt idx="12">
                  <c:v>2.134228317107181E-2</c:v>
                </c:pt>
                <c:pt idx="13">
                  <c:v>2.4076140270939569E-2</c:v>
                </c:pt>
                <c:pt idx="14">
                  <c:v>2.6956971755773242E-2</c:v>
                </c:pt>
                <c:pt idx="15">
                  <c:v>2.998477762557283E-2</c:v>
                </c:pt>
                <c:pt idx="16">
                  <c:v>3.3159557880338329E-2</c:v>
                </c:pt>
                <c:pt idx="17">
                  <c:v>3.6481312520069732E-2</c:v>
                </c:pt>
                <c:pt idx="18">
                  <c:v>3.995004154476707E-2</c:v>
                </c:pt>
                <c:pt idx="19">
                  <c:v>4.3565744954430302E-2</c:v>
                </c:pt>
                <c:pt idx="20">
                  <c:v>4.7328422749059462E-2</c:v>
                </c:pt>
                <c:pt idx="21">
                  <c:v>5.123807492865453E-2</c:v>
                </c:pt>
                <c:pt idx="22">
                  <c:v>5.5294701493215512E-2</c:v>
                </c:pt>
                <c:pt idx="23">
                  <c:v>5.9498302442742408E-2</c:v>
                </c:pt>
                <c:pt idx="24">
                  <c:v>6.3848877777235233E-2</c:v>
                </c:pt>
                <c:pt idx="25">
                  <c:v>6.8346427496693951E-2</c:v>
                </c:pt>
                <c:pt idx="26">
                  <c:v>7.2990951601118584E-2</c:v>
                </c:pt>
                <c:pt idx="27">
                  <c:v>7.7782450090509131E-2</c:v>
                </c:pt>
                <c:pt idx="28">
                  <c:v>8.2720922964865606E-2</c:v>
                </c:pt>
                <c:pt idx="29">
                  <c:v>8.7806370224187968E-2</c:v>
                </c:pt>
                <c:pt idx="30">
                  <c:v>9.30387918684763E-2</c:v>
                </c:pt>
                <c:pt idx="31">
                  <c:v>9.8418187897730477E-2</c:v>
                </c:pt>
                <c:pt idx="32">
                  <c:v>0.1039445583119506</c:v>
                </c:pt>
                <c:pt idx="33">
                  <c:v>0.10961790311113667</c:v>
                </c:pt>
                <c:pt idx="34">
                  <c:v>0.11543822229528858</c:v>
                </c:pt>
                <c:pt idx="35">
                  <c:v>0.12140551586440645</c:v>
                </c:pt>
                <c:pt idx="36">
                  <c:v>0.12751978381849022</c:v>
                </c:pt>
                <c:pt idx="37">
                  <c:v>0.13378102615753995</c:v>
                </c:pt>
                <c:pt idx="38">
                  <c:v>0.14018924288155551</c:v>
                </c:pt>
                <c:pt idx="39">
                  <c:v>0.14674443399053708</c:v>
                </c:pt>
                <c:pt idx="40">
                  <c:v>0.1534465994844845</c:v>
                </c:pt>
                <c:pt idx="41">
                  <c:v>0.16029573936339783</c:v>
                </c:pt>
                <c:pt idx="42">
                  <c:v>0.16729185362727711</c:v>
                </c:pt>
                <c:pt idx="43">
                  <c:v>0.17443494227612227</c:v>
                </c:pt>
                <c:pt idx="44">
                  <c:v>0.18172500530993335</c:v>
                </c:pt>
                <c:pt idx="45">
                  <c:v>0.18916204272871037</c:v>
                </c:pt>
                <c:pt idx="46">
                  <c:v>0.19674605453245331</c:v>
                </c:pt>
                <c:pt idx="47">
                  <c:v>0.20447704072116213</c:v>
                </c:pt>
                <c:pt idx="48">
                  <c:v>0.21235500129483689</c:v>
                </c:pt>
                <c:pt idx="49">
                  <c:v>0.22037993625347752</c:v>
                </c:pt>
                <c:pt idx="50">
                  <c:v>0.22855184559708405</c:v>
                </c:pt>
                <c:pt idx="51">
                  <c:v>0.23687072932565659</c:v>
                </c:pt>
                <c:pt idx="52">
                  <c:v>0.24533658743919501</c:v>
                </c:pt>
                <c:pt idx="53">
                  <c:v>0.25394941993769932</c:v>
                </c:pt>
                <c:pt idx="54">
                  <c:v>0.26270922682116954</c:v>
                </c:pt>
                <c:pt idx="55">
                  <c:v>0.27161600808960573</c:v>
                </c:pt>
                <c:pt idx="56">
                  <c:v>0.28066976374300778</c:v>
                </c:pt>
                <c:pt idx="57">
                  <c:v>0.2898704937813758</c:v>
                </c:pt>
                <c:pt idx="58">
                  <c:v>0.29921819820470957</c:v>
                </c:pt>
                <c:pt idx="59">
                  <c:v>0.30871287701300937</c:v>
                </c:pt>
                <c:pt idx="60">
                  <c:v>0.31835453020627513</c:v>
                </c:pt>
                <c:pt idx="61">
                  <c:v>0.32814315778450681</c:v>
                </c:pt>
                <c:pt idx="62">
                  <c:v>0.33807875974770424</c:v>
                </c:pt>
                <c:pt idx="63">
                  <c:v>0.34816133609586769</c:v>
                </c:pt>
                <c:pt idx="64">
                  <c:v>0.358390886828997</c:v>
                </c:pt>
                <c:pt idx="65">
                  <c:v>0.36876741194709239</c:v>
                </c:pt>
                <c:pt idx="66">
                  <c:v>0.37929091145015359</c:v>
                </c:pt>
                <c:pt idx="67">
                  <c:v>0.38996138533818059</c:v>
                </c:pt>
                <c:pt idx="68">
                  <c:v>0.40077883361117361</c:v>
                </c:pt>
                <c:pt idx="69">
                  <c:v>0.41174325626913266</c:v>
                </c:pt>
                <c:pt idx="70">
                  <c:v>0.42285465331205752</c:v>
                </c:pt>
                <c:pt idx="71">
                  <c:v>0.43411302473994823</c:v>
                </c:pt>
                <c:pt idx="72">
                  <c:v>0.44551837055280485</c:v>
                </c:pt>
                <c:pt idx="73">
                  <c:v>0.45707069075062762</c:v>
                </c:pt>
                <c:pt idx="74">
                  <c:v>0.46876998533341607</c:v>
                </c:pt>
                <c:pt idx="75">
                  <c:v>0.48061625430117044</c:v>
                </c:pt>
                <c:pt idx="76">
                  <c:v>0.49260949765389067</c:v>
                </c:pt>
                <c:pt idx="77">
                  <c:v>0.50474971539157687</c:v>
                </c:pt>
                <c:pt idx="78">
                  <c:v>0.51703690751422926</c:v>
                </c:pt>
                <c:pt idx="79">
                  <c:v>0.52947107402184723</c:v>
                </c:pt>
                <c:pt idx="80">
                  <c:v>0.54205221491443123</c:v>
                </c:pt>
                <c:pt idx="81">
                  <c:v>0.55478033019198114</c:v>
                </c:pt>
                <c:pt idx="82">
                  <c:v>0.56765541985449708</c:v>
                </c:pt>
                <c:pt idx="83">
                  <c:v>0.58067748390197871</c:v>
                </c:pt>
                <c:pt idx="84">
                  <c:v>0.59384652233442636</c:v>
                </c:pt>
                <c:pt idx="85">
                  <c:v>0.60716253515183971</c:v>
                </c:pt>
                <c:pt idx="86">
                  <c:v>0.62062552235421931</c:v>
                </c:pt>
                <c:pt idx="87">
                  <c:v>0.63423548394156493</c:v>
                </c:pt>
                <c:pt idx="88">
                  <c:v>0.64799241991387602</c:v>
                </c:pt>
                <c:pt idx="89">
                  <c:v>0.66189633027115324</c:v>
                </c:pt>
                <c:pt idx="90">
                  <c:v>0.67594721501339639</c:v>
                </c:pt>
              </c:numCache>
            </c:numRef>
          </c:yVal>
          <c:smooth val="0"/>
          <c:extLst>
            <c:ext xmlns:c16="http://schemas.microsoft.com/office/drawing/2014/chart" uri="{C3380CC4-5D6E-409C-BE32-E72D297353CC}">
              <c16:uniqueId val="{00000002-F0E1-4150-B5B6-6B9BAF7529FA}"/>
            </c:ext>
          </c:extLst>
        </c:ser>
        <c:ser>
          <c:idx val="3"/>
          <c:order val="3"/>
          <c:spPr>
            <a:ln w="25400">
              <a:solidFill>
                <a:srgbClr val="800000"/>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TSData1!$AQ$5:$AQ$95</c:f>
              <c:numCache>
                <c:formatCode>General</c:formatCode>
                <c:ptCount val="91"/>
                <c:pt idx="0">
                  <c:v>0.51722354401572379</c:v>
                </c:pt>
                <c:pt idx="1">
                  <c:v>0.51693351977790269</c:v>
                </c:pt>
                <c:pt idx="2">
                  <c:v>0.51659955852234363</c:v>
                </c:pt>
                <c:pt idx="3">
                  <c:v>0.51622166024904614</c:v>
                </c:pt>
                <c:pt idx="4">
                  <c:v>0.51579982495801058</c:v>
                </c:pt>
                <c:pt idx="5">
                  <c:v>0.51533405264923648</c:v>
                </c:pt>
                <c:pt idx="6">
                  <c:v>0.51482434332272442</c:v>
                </c:pt>
                <c:pt idx="7">
                  <c:v>0.51427069697847405</c:v>
                </c:pt>
                <c:pt idx="8">
                  <c:v>0.51367311361648549</c:v>
                </c:pt>
                <c:pt idx="9">
                  <c:v>0.51303159323675851</c:v>
                </c:pt>
                <c:pt idx="10">
                  <c:v>0.51234613583929334</c:v>
                </c:pt>
                <c:pt idx="11">
                  <c:v>0.51161674142408997</c:v>
                </c:pt>
                <c:pt idx="12">
                  <c:v>0.51084340999114808</c:v>
                </c:pt>
                <c:pt idx="13">
                  <c:v>0.51002614154046821</c:v>
                </c:pt>
                <c:pt idx="14">
                  <c:v>0.50916493607205027</c:v>
                </c:pt>
                <c:pt idx="15">
                  <c:v>0.50825979358589379</c:v>
                </c:pt>
                <c:pt idx="16">
                  <c:v>0.50731071408199924</c:v>
                </c:pt>
                <c:pt idx="17">
                  <c:v>0.50631769756036626</c:v>
                </c:pt>
                <c:pt idx="18">
                  <c:v>0.50528074402099521</c:v>
                </c:pt>
                <c:pt idx="19">
                  <c:v>0.50419985346388585</c:v>
                </c:pt>
                <c:pt idx="20">
                  <c:v>0.50307502588903819</c:v>
                </c:pt>
                <c:pt idx="21">
                  <c:v>0.50190626129645233</c:v>
                </c:pt>
                <c:pt idx="22">
                  <c:v>0.50069355968612805</c:v>
                </c:pt>
                <c:pt idx="23">
                  <c:v>0.49943692105806559</c:v>
                </c:pt>
                <c:pt idx="24">
                  <c:v>0.49813634541226504</c:v>
                </c:pt>
                <c:pt idx="25">
                  <c:v>0.49679183274872635</c:v>
                </c:pt>
                <c:pt idx="26">
                  <c:v>0.49540338306744908</c:v>
                </c:pt>
                <c:pt idx="27">
                  <c:v>0.49397099636843383</c:v>
                </c:pt>
                <c:pt idx="28">
                  <c:v>0.49249467265168007</c:v>
                </c:pt>
                <c:pt idx="29">
                  <c:v>0.49097441191718844</c:v>
                </c:pt>
                <c:pt idx="30">
                  <c:v>0.48941021416495811</c:v>
                </c:pt>
                <c:pt idx="31">
                  <c:v>0.48780207939498993</c:v>
                </c:pt>
                <c:pt idx="32">
                  <c:v>0.48615000760728339</c:v>
                </c:pt>
                <c:pt idx="33">
                  <c:v>0.48445399880183865</c:v>
                </c:pt>
                <c:pt idx="34">
                  <c:v>0.48271405297865522</c:v>
                </c:pt>
                <c:pt idx="35">
                  <c:v>0.48093017013773404</c:v>
                </c:pt>
                <c:pt idx="36">
                  <c:v>0.47910235027907461</c:v>
                </c:pt>
                <c:pt idx="37">
                  <c:v>0.47723059340267665</c:v>
                </c:pt>
                <c:pt idx="38">
                  <c:v>0.47531489950854061</c:v>
                </c:pt>
                <c:pt idx="39">
                  <c:v>0.47335526859666616</c:v>
                </c:pt>
                <c:pt idx="40">
                  <c:v>0.47135170066705356</c:v>
                </c:pt>
                <c:pt idx="41">
                  <c:v>0.46930419571970267</c:v>
                </c:pt>
                <c:pt idx="42">
                  <c:v>0.46721275375461374</c:v>
                </c:pt>
                <c:pt idx="43">
                  <c:v>0.46507737477178646</c:v>
                </c:pt>
                <c:pt idx="44">
                  <c:v>0.46289805877122076</c:v>
                </c:pt>
                <c:pt idx="45">
                  <c:v>0.46067480575291719</c:v>
                </c:pt>
                <c:pt idx="46">
                  <c:v>0.45840761571687483</c:v>
                </c:pt>
                <c:pt idx="47">
                  <c:v>0.45609648866309449</c:v>
                </c:pt>
                <c:pt idx="48">
                  <c:v>0.45374142459157618</c:v>
                </c:pt>
                <c:pt idx="49">
                  <c:v>0.45134242350231923</c:v>
                </c:pt>
                <c:pt idx="50">
                  <c:v>0.44889948539532426</c:v>
                </c:pt>
                <c:pt idx="51">
                  <c:v>0.44641261027059093</c:v>
                </c:pt>
                <c:pt idx="52">
                  <c:v>0.4438817981281194</c:v>
                </c:pt>
                <c:pt idx="53">
                  <c:v>0.44130704896790957</c:v>
                </c:pt>
                <c:pt idx="54">
                  <c:v>0.43868836278996159</c:v>
                </c:pt>
                <c:pt idx="55">
                  <c:v>0.43602573959427521</c:v>
                </c:pt>
                <c:pt idx="56">
                  <c:v>0.43331917938085079</c:v>
                </c:pt>
                <c:pt idx="57">
                  <c:v>0.43056868214968796</c:v>
                </c:pt>
                <c:pt idx="58">
                  <c:v>0.427774247900787</c:v>
                </c:pt>
                <c:pt idx="59">
                  <c:v>0.4249358766341475</c:v>
                </c:pt>
                <c:pt idx="60">
                  <c:v>0.42205356834977004</c:v>
                </c:pt>
                <c:pt idx="61">
                  <c:v>0.41912732304765438</c:v>
                </c:pt>
                <c:pt idx="62">
                  <c:v>0.4161571407278003</c:v>
                </c:pt>
                <c:pt idx="63">
                  <c:v>0.41314302139020798</c:v>
                </c:pt>
                <c:pt idx="64">
                  <c:v>0.41008496503487746</c:v>
                </c:pt>
                <c:pt idx="65">
                  <c:v>0.40698297166180875</c:v>
                </c:pt>
                <c:pt idx="66">
                  <c:v>0.40383704127100184</c:v>
                </c:pt>
                <c:pt idx="67">
                  <c:v>0.40064717386245657</c:v>
                </c:pt>
                <c:pt idx="68">
                  <c:v>0.397413369436173</c:v>
                </c:pt>
                <c:pt idx="69">
                  <c:v>0.39413562799215129</c:v>
                </c:pt>
                <c:pt idx="70">
                  <c:v>0.39081394953039128</c:v>
                </c:pt>
                <c:pt idx="71">
                  <c:v>0.38744833405089291</c:v>
                </c:pt>
                <c:pt idx="72">
                  <c:v>0.38403878155365651</c:v>
                </c:pt>
                <c:pt idx="73">
                  <c:v>0.38058529203868163</c:v>
                </c:pt>
                <c:pt idx="74">
                  <c:v>0.37708786550596884</c:v>
                </c:pt>
                <c:pt idx="75">
                  <c:v>0.37354650195551742</c:v>
                </c:pt>
                <c:pt idx="76">
                  <c:v>0.36996120138732808</c:v>
                </c:pt>
                <c:pt idx="77">
                  <c:v>0.36633196380140015</c:v>
                </c:pt>
                <c:pt idx="78">
                  <c:v>0.36265878919773414</c:v>
                </c:pt>
                <c:pt idx="79">
                  <c:v>0.35894167757633011</c:v>
                </c:pt>
                <c:pt idx="80">
                  <c:v>0.35518062893718783</c:v>
                </c:pt>
                <c:pt idx="81">
                  <c:v>0.3513756432803069</c:v>
                </c:pt>
                <c:pt idx="82">
                  <c:v>0.34752672060568796</c:v>
                </c:pt>
                <c:pt idx="83">
                  <c:v>0.3436338609133307</c:v>
                </c:pt>
                <c:pt idx="84">
                  <c:v>0.33969706420323537</c:v>
                </c:pt>
                <c:pt idx="85">
                  <c:v>0.3357163304754015</c:v>
                </c:pt>
                <c:pt idx="86">
                  <c:v>0.33169165972982961</c:v>
                </c:pt>
                <c:pt idx="87">
                  <c:v>0.32762305196651931</c:v>
                </c:pt>
                <c:pt idx="88">
                  <c:v>0.32351050718547081</c:v>
                </c:pt>
                <c:pt idx="89">
                  <c:v>0.31935402538668411</c:v>
                </c:pt>
                <c:pt idx="90">
                  <c:v>0.31515360657015923</c:v>
                </c:pt>
              </c:numCache>
            </c:numRef>
          </c:yVal>
          <c:smooth val="0"/>
          <c:extLst>
            <c:ext xmlns:c16="http://schemas.microsoft.com/office/drawing/2014/chart" uri="{C3380CC4-5D6E-409C-BE32-E72D297353CC}">
              <c16:uniqueId val="{00000003-F0E1-4150-B5B6-6B9BAF7529FA}"/>
            </c:ext>
          </c:extLst>
        </c:ser>
        <c:ser>
          <c:idx val="4"/>
          <c:order val="4"/>
          <c:spPr>
            <a:ln w="25400">
              <a:solidFill>
                <a:srgbClr val="800000"/>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TSData1!$AR$5:$AR$95</c:f>
              <c:numCache>
                <c:formatCode>General</c:formatCode>
                <c:ptCount val="91"/>
                <c:pt idx="0">
                  <c:v>12.930588600393094</c:v>
                </c:pt>
                <c:pt idx="1">
                  <c:v>12.930298576155272</c:v>
                </c:pt>
                <c:pt idx="2">
                  <c:v>12.929964614899715</c:v>
                </c:pt>
                <c:pt idx="3">
                  <c:v>12.929586716626412</c:v>
                </c:pt>
                <c:pt idx="4">
                  <c:v>12.929164881335378</c:v>
                </c:pt>
                <c:pt idx="5">
                  <c:v>12.928699109026605</c:v>
                </c:pt>
                <c:pt idx="6">
                  <c:v>12.928189399700095</c:v>
                </c:pt>
                <c:pt idx="7">
                  <c:v>12.927635753355844</c:v>
                </c:pt>
                <c:pt idx="8">
                  <c:v>12.92703816999385</c:v>
                </c:pt>
                <c:pt idx="9">
                  <c:v>12.92639664961413</c:v>
                </c:pt>
                <c:pt idx="10">
                  <c:v>12.92571119221666</c:v>
                </c:pt>
                <c:pt idx="11">
                  <c:v>12.924981797801463</c:v>
                </c:pt>
                <c:pt idx="12">
                  <c:v>12.924208466368519</c:v>
                </c:pt>
                <c:pt idx="13">
                  <c:v>12.923391197917839</c:v>
                </c:pt>
                <c:pt idx="14">
                  <c:v>12.922529992449419</c:v>
                </c:pt>
                <c:pt idx="15">
                  <c:v>12.92162484996326</c:v>
                </c:pt>
                <c:pt idx="16">
                  <c:v>12.920675770459372</c:v>
                </c:pt>
                <c:pt idx="17">
                  <c:v>12.919682753937732</c:v>
                </c:pt>
                <c:pt idx="18">
                  <c:v>12.918645800398364</c:v>
                </c:pt>
                <c:pt idx="19">
                  <c:v>12.917564909841252</c:v>
                </c:pt>
                <c:pt idx="20">
                  <c:v>12.91644008226641</c:v>
                </c:pt>
                <c:pt idx="21">
                  <c:v>12.91527131767382</c:v>
                </c:pt>
                <c:pt idx="22">
                  <c:v>12.914058616063496</c:v>
                </c:pt>
                <c:pt idx="23">
                  <c:v>12.912801977435434</c:v>
                </c:pt>
                <c:pt idx="24">
                  <c:v>12.911501401789634</c:v>
                </c:pt>
                <c:pt idx="25">
                  <c:v>12.910156889126101</c:v>
                </c:pt>
                <c:pt idx="26">
                  <c:v>12.908768439444819</c:v>
                </c:pt>
                <c:pt idx="27">
                  <c:v>12.907336052745803</c:v>
                </c:pt>
                <c:pt idx="28">
                  <c:v>11.965213854657085</c:v>
                </c:pt>
                <c:pt idx="29">
                  <c:v>11.216859738343969</c:v>
                </c:pt>
                <c:pt idx="30">
                  <c:v>10.53757471931779</c:v>
                </c:pt>
                <c:pt idx="31">
                  <c:v>9.9191154284272525</c:v>
                </c:pt>
                <c:pt idx="32">
                  <c:v>9.3544326479513558</c:v>
                </c:pt>
                <c:pt idx="33">
                  <c:v>8.8374695854482983</c:v>
                </c:pt>
                <c:pt idx="34">
                  <c:v>8.3629988133519841</c:v>
                </c:pt>
                <c:pt idx="35">
                  <c:v>7.9264896305626529</c:v>
                </c:pt>
                <c:pt idx="36">
                  <c:v>7.523999528157657</c:v>
                </c:pt>
                <c:pt idx="37">
                  <c:v>7.1520848799935148</c:v>
                </c:pt>
                <c:pt idx="38">
                  <c:v>6.8077270626211766</c:v>
                </c:pt>
                <c:pt idx="39">
                  <c:v>6.4882710316260663</c:v>
                </c:pt>
                <c:pt idx="40">
                  <c:v>6.0507276567872657</c:v>
                </c:pt>
                <c:pt idx="41">
                  <c:v>5.7838552628264042</c:v>
                </c:pt>
                <c:pt idx="42">
                  <c:v>5.5347849130245708</c:v>
                </c:pt>
                <c:pt idx="43">
                  <c:v>5.3019692556864886</c:v>
                </c:pt>
                <c:pt idx="44">
                  <c:v>5.084025513567596</c:v>
                </c:pt>
                <c:pt idx="45">
                  <c:v>4.8797149176783572</c:v>
                </c:pt>
                <c:pt idx="46">
                  <c:v>4.6879250782375115</c:v>
                </c:pt>
                <c:pt idx="47">
                  <c:v>4.4215538275875597</c:v>
                </c:pt>
                <c:pt idx="48">
                  <c:v>4.2568972857203287</c:v>
                </c:pt>
                <c:pt idx="49">
                  <c:v>4.1016623944579296</c:v>
                </c:pt>
                <c:pt idx="50">
                  <c:v>3.9551451384559404</c:v>
                </c:pt>
                <c:pt idx="51">
                  <c:v>3.7503319762937366</c:v>
                </c:pt>
                <c:pt idx="52">
                  <c:v>3.6229355799729159</c:v>
                </c:pt>
                <c:pt idx="53">
                  <c:v>3.5022576171910038</c:v>
                </c:pt>
                <c:pt idx="54">
                  <c:v>3.3328357734343461</c:v>
                </c:pt>
                <c:pt idx="55">
                  <c:v>3.2270130299523969</c:v>
                </c:pt>
                <c:pt idx="56">
                  <c:v>3.1264514273404873</c:v>
                </c:pt>
                <c:pt idx="57">
                  <c:v>2.9847333682325763</c:v>
                </c:pt>
                <c:pt idx="58">
                  <c:v>2.8958880376598231</c:v>
                </c:pt>
                <c:pt idx="59">
                  <c:v>2.7703739874600339</c:v>
                </c:pt>
                <c:pt idx="60">
                  <c:v>2.6914998669184302</c:v>
                </c:pt>
                <c:pt idx="61">
                  <c:v>2.5798203689371517</c:v>
                </c:pt>
                <c:pt idx="62">
                  <c:v>2.5094858778477467</c:v>
                </c:pt>
                <c:pt idx="63">
                  <c:v>2.4096896853525185</c:v>
                </c:pt>
                <c:pt idx="64">
                  <c:v>2.3467115120365496</c:v>
                </c:pt>
                <c:pt idx="65">
                  <c:v>2.2571800569475551</c:v>
                </c:pt>
                <c:pt idx="66">
                  <c:v>2.2005732405205065</c:v>
                </c:pt>
                <c:pt idx="67">
                  <c:v>2.1199548352504669</c:v>
                </c:pt>
                <c:pt idx="68">
                  <c:v>2.0688941760251902</c:v>
                </c:pt>
                <c:pt idx="69">
                  <c:v>1.99605291213511</c:v>
                </c:pt>
                <c:pt idx="70">
                  <c:v>1.9498428650585442</c:v>
                </c:pt>
                <c:pt idx="71">
                  <c:v>1.8838185735679984</c:v>
                </c:pt>
                <c:pt idx="72">
                  <c:v>1.8214846446103703</c:v>
                </c:pt>
                <c:pt idx="73">
                  <c:v>1.7818461779542594</c:v>
                </c:pt>
                <c:pt idx="74">
                  <c:v>1.7250819963210164</c:v>
                </c:pt>
                <c:pt idx="75">
                  <c:v>1.6889361837314472</c:v>
                </c:pt>
                <c:pt idx="76">
                  <c:v>1.6371060031018434</c:v>
                </c:pt>
                <c:pt idx="77">
                  <c:v>1.60405994128169</c:v>
                </c:pt>
                <c:pt idx="78">
                  <c:v>1.5566165548292921</c:v>
                </c:pt>
                <c:pt idx="79">
                  <c:v>1.5115739494219296</c:v>
                </c:pt>
                <c:pt idx="80">
                  <c:v>1.4828016656639544</c:v>
                </c:pt>
                <c:pt idx="81">
                  <c:v>1.4414195969323034</c:v>
                </c:pt>
                <c:pt idx="82">
                  <c:v>1.4149570966116718</c:v>
                </c:pt>
                <c:pt idx="83">
                  <c:v>1.3768576654837905</c:v>
                </c:pt>
                <c:pt idx="84">
                  <c:v>1.3405666486799519</c:v>
                </c:pt>
                <c:pt idx="85">
                  <c:v>1.3059744425221096</c:v>
                </c:pt>
                <c:pt idx="86">
                  <c:v>1.2838063890893883</c:v>
                </c:pt>
                <c:pt idx="87">
                  <c:v>1.2518240536965974</c:v>
                </c:pt>
                <c:pt idx="88">
                  <c:v>1.2212866470547519</c:v>
                </c:pt>
                <c:pt idx="89">
                  <c:v>1.1921114444381422</c:v>
                </c:pt>
                <c:pt idx="90">
                  <c:v>1.1733799277946277</c:v>
                </c:pt>
              </c:numCache>
            </c:numRef>
          </c:yVal>
          <c:smooth val="0"/>
          <c:extLst>
            <c:ext xmlns:c16="http://schemas.microsoft.com/office/drawing/2014/chart" uri="{C3380CC4-5D6E-409C-BE32-E72D297353CC}">
              <c16:uniqueId val="{00000004-F0E1-4150-B5B6-6B9BAF7529FA}"/>
            </c:ext>
          </c:extLst>
        </c:ser>
        <c:dLbls>
          <c:showLegendKey val="0"/>
          <c:showVal val="0"/>
          <c:showCatName val="0"/>
          <c:showSerName val="0"/>
          <c:showPercent val="0"/>
          <c:showBubbleSize val="0"/>
        </c:dLbls>
        <c:axId val="565873848"/>
        <c:axId val="565874240"/>
      </c:scatterChart>
      <c:valAx>
        <c:axId val="565873848"/>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518342183971188"/>
              <c:y val="0.92913468493603646"/>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4240"/>
        <c:crosses val="autoZero"/>
        <c:crossBetween val="midCat"/>
      </c:valAx>
      <c:valAx>
        <c:axId val="565874240"/>
        <c:scaling>
          <c:orientation val="minMax"/>
          <c:min val="0"/>
        </c:scaling>
        <c:delete val="0"/>
        <c:axPos val="l"/>
        <c:majorGridlines>
          <c:spPr>
            <a:ln w="3175">
              <a:solidFill>
                <a:srgbClr val="000000"/>
              </a:solidFill>
              <a:prstDash val="solid"/>
            </a:ln>
          </c:spPr>
        </c:majorGridlines>
        <c:title>
          <c:tx>
            <c:strRef>
              <c:f>TSData1!$AJ$2</c:f>
              <c:strCache>
                <c:ptCount val="1"/>
                <c:pt idx="0">
                  <c:v>Output Power KiloWatts</c:v>
                </c:pt>
              </c:strCache>
            </c:strRef>
          </c:tx>
          <c:layout>
            <c:manualLayout>
              <c:xMode val="edge"/>
              <c:yMode val="edge"/>
              <c:x val="5.3156146179401995E-2"/>
              <c:y val="0.37204765742864832"/>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7384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Motor Efficiency</a:t>
            </a:r>
          </a:p>
        </c:rich>
      </c:tx>
      <c:layout>
        <c:manualLayout>
          <c:xMode val="edge"/>
          <c:yMode val="edge"/>
          <c:x val="0.3466677165354331"/>
          <c:y val="2.9940119760479247E-2"/>
        </c:manualLayout>
      </c:layout>
      <c:overlay val="0"/>
      <c:spPr>
        <a:noFill/>
        <a:ln w="25400">
          <a:noFill/>
        </a:ln>
      </c:spPr>
    </c:title>
    <c:autoTitleDeleted val="0"/>
    <c:plotArea>
      <c:layout>
        <c:manualLayout>
          <c:layoutTarget val="inner"/>
          <c:xMode val="edge"/>
          <c:yMode val="edge"/>
          <c:x val="0.20666733941191337"/>
          <c:y val="0.13173678373094391"/>
          <c:w val="0.70000227865325082"/>
          <c:h val="0.74251641739259644"/>
        </c:manualLayout>
      </c:layout>
      <c:scatterChart>
        <c:scatterStyle val="lineMarker"/>
        <c:varyColors val="0"/>
        <c:ser>
          <c:idx val="0"/>
          <c:order val="0"/>
          <c:spPr>
            <a:ln w="25400">
              <a:solidFill>
                <a:srgbClr val="0000FF"/>
              </a:solidFill>
              <a:prstDash val="sys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TSData1!$R$5:$R$95</c:f>
              <c:numCache>
                <c:formatCode>General</c:formatCode>
                <c:ptCount val="91"/>
                <c:pt idx="0">
                  <c:v>0</c:v>
                </c:pt>
                <c:pt idx="1">
                  <c:v>0.39731542134575043</c:v>
                </c:pt>
                <c:pt idx="2">
                  <c:v>0.56818306665854068</c:v>
                </c:pt>
                <c:pt idx="3">
                  <c:v>0.66320894523602691</c:v>
                </c:pt>
                <c:pt idx="4">
                  <c:v>0.72368060760709141</c:v>
                </c:pt>
                <c:pt idx="5">
                  <c:v>0.76551972503512511</c:v>
                </c:pt>
                <c:pt idx="6">
                  <c:v>0.7961685243453348</c:v>
                </c:pt>
                <c:pt idx="7">
                  <c:v>0.81957140971160736</c:v>
                </c:pt>
                <c:pt idx="8">
                  <c:v>0.83801384550514391</c:v>
                </c:pt>
                <c:pt idx="9">
                  <c:v>0.85291152130524606</c:v>
                </c:pt>
                <c:pt idx="10">
                  <c:v>0.86518816232368789</c:v>
                </c:pt>
                <c:pt idx="11">
                  <c:v>0.87547214630307812</c:v>
                </c:pt>
                <c:pt idx="12">
                  <c:v>0.88420580449592534</c:v>
                </c:pt>
                <c:pt idx="13">
                  <c:v>0.89170952807698145</c:v>
                </c:pt>
                <c:pt idx="14">
                  <c:v>0.89822107632303394</c:v>
                </c:pt>
                <c:pt idx="15">
                  <c:v>0.90392060018730813</c:v>
                </c:pt>
                <c:pt idx="16">
                  <c:v>0.90894709161021658</c:v>
                </c:pt>
                <c:pt idx="17">
                  <c:v>0.91340950100215257</c:v>
                </c:pt>
                <c:pt idx="18">
                  <c:v>0.91739443583530622</c:v>
                </c:pt>
                <c:pt idx="19">
                  <c:v>0.92097160715986748</c:v>
                </c:pt>
                <c:pt idx="20">
                  <c:v>0.92419775691263162</c:v>
                </c:pt>
                <c:pt idx="21">
                  <c:v>0.92711953843484429</c:v>
                </c:pt>
                <c:pt idx="22">
                  <c:v>0.92977566186674998</c:v>
                </c:pt>
                <c:pt idx="23">
                  <c:v>0.93219851436184109</c:v>
                </c:pt>
                <c:pt idx="24">
                  <c:v>0.93441539922702865</c:v>
                </c:pt>
                <c:pt idx="25">
                  <c:v>0.93644949460873872</c:v>
                </c:pt>
                <c:pt idx="26">
                  <c:v>0.93832060308509613</c:v>
                </c:pt>
                <c:pt idx="27">
                  <c:v>0.94004574350091807</c:v>
                </c:pt>
                <c:pt idx="28">
                  <c:v>0.94163962246547306</c:v>
                </c:pt>
                <c:pt idx="29">
                  <c:v>0.94311501312130064</c:v>
                </c:pt>
                <c:pt idx="30">
                  <c:v>0.94448306178314567</c:v>
                </c:pt>
                <c:pt idx="31">
                  <c:v>0.94575353797714024</c:v>
                </c:pt>
                <c:pt idx="32">
                  <c:v>0.94693503970286141</c:v>
                </c:pt>
                <c:pt idx="33">
                  <c:v>0.94803516300023993</c:v>
                </c:pt>
                <c:pt idx="34">
                  <c:v>0.9490606428572177</c:v>
                </c:pt>
                <c:pt idx="35">
                  <c:v>0.95001747095240052</c:v>
                </c:pt>
                <c:pt idx="36">
                  <c:v>0.95091099455510364</c:v>
                </c:pt>
                <c:pt idx="37">
                  <c:v>0.95174600000729537</c:v>
                </c:pt>
                <c:pt idx="38">
                  <c:v>0.95252678351848241</c:v>
                </c:pt>
                <c:pt idx="39">
                  <c:v>0.95325721146525177</c:v>
                </c:pt>
                <c:pt idx="40">
                  <c:v>0.95394077196474814</c:v>
                </c:pt>
                <c:pt idx="41">
                  <c:v>0.95458061915836223</c:v>
                </c:pt>
                <c:pt idx="42">
                  <c:v>0.95517961137779372</c:v>
                </c:pt>
                <c:pt idx="43">
                  <c:v>0.95574034415494002</c:v>
                </c:pt>
                <c:pt idx="44">
                  <c:v>0.95626517886799078</c:v>
                </c:pt>
                <c:pt idx="45">
                  <c:v>0.95675626767977751</c:v>
                </c:pt>
                <c:pt idx="46">
                  <c:v>0.95721557531391699</c:v>
                </c:pt>
                <c:pt idx="47">
                  <c:v>0.9576448981242458</c:v>
                </c:pt>
                <c:pt idx="48">
                  <c:v>0.95804588083939823</c:v>
                </c:pt>
                <c:pt idx="49">
                  <c:v>0.95842003130383457</c:v>
                </c:pt>
                <c:pt idx="50">
                  <c:v>0.95876873348666203</c:v>
                </c:pt>
                <c:pt idx="51">
                  <c:v>0.95909325898816944</c:v>
                </c:pt>
                <c:pt idx="52">
                  <c:v>0.9593947772395649</c:v>
                </c:pt>
                <c:pt idx="53">
                  <c:v>0.95967436456260991</c:v>
                </c:pt>
                <c:pt idx="54">
                  <c:v>0.95993301223176153</c:v>
                </c:pt>
                <c:pt idx="55">
                  <c:v>0.96017163366112201</c:v>
                </c:pt>
                <c:pt idx="56">
                  <c:v>0.96039107082140385</c:v>
                </c:pt>
                <c:pt idx="57">
                  <c:v>0.96059209997761841</c:v>
                </c:pt>
                <c:pt idx="58">
                  <c:v>0.96077543682588085</c:v>
                </c:pt>
                <c:pt idx="59">
                  <c:v>0.96094174109724073</c:v>
                </c:pt>
                <c:pt idx="60">
                  <c:v>0.96109162068747733</c:v>
                </c:pt>
                <c:pt idx="61">
                  <c:v>0.96122563536411387</c:v>
                </c:pt>
                <c:pt idx="62">
                  <c:v>0.96134430009527627</c:v>
                </c:pt>
                <c:pt idx="63">
                  <c:v>0.96144808803933646</c:v>
                </c:pt>
                <c:pt idx="64">
                  <c:v>0.96153743322932328</c:v>
                </c:pt>
                <c:pt idx="65">
                  <c:v>0.96161273298179917</c:v>
                </c:pt>
                <c:pt idx="66">
                  <c:v>0.96167412117939644</c:v>
                </c:pt>
                <c:pt idx="67">
                  <c:v>0.96168393646642358</c:v>
                </c:pt>
                <c:pt idx="68">
                  <c:v>0.96161454052262607</c:v>
                </c:pt>
                <c:pt idx="69">
                  <c:v>0.96148221021807423</c:v>
                </c:pt>
                <c:pt idx="70">
                  <c:v>0.96127975868739279</c:v>
                </c:pt>
                <c:pt idx="71">
                  <c:v>0.96103278475937315</c:v>
                </c:pt>
                <c:pt idx="72">
                  <c:v>0.96072276850013083</c:v>
                </c:pt>
                <c:pt idx="73">
                  <c:v>0.96034762854455724</c:v>
                </c:pt>
                <c:pt idx="74">
                  <c:v>0.95994757422569676</c:v>
                </c:pt>
                <c:pt idx="75">
                  <c:v>0.95948796848761797</c:v>
                </c:pt>
                <c:pt idx="76">
                  <c:v>0.95896608992147481</c:v>
                </c:pt>
                <c:pt idx="77">
                  <c:v>0.95843784645502417</c:v>
                </c:pt>
                <c:pt idx="78">
                  <c:v>0.95778772747102503</c:v>
                </c:pt>
                <c:pt idx="79">
                  <c:v>0.95713613745589221</c:v>
                </c:pt>
                <c:pt idx="80">
                  <c:v>0.95642049314018396</c:v>
                </c:pt>
                <c:pt idx="81">
                  <c:v>0.95563682874129741</c:v>
                </c:pt>
                <c:pt idx="82">
                  <c:v>0.95478065538869406</c:v>
                </c:pt>
                <c:pt idx="83">
                  <c:v>0.95384689474499862</c:v>
                </c:pt>
                <c:pt idx="84">
                  <c:v>0.95293760546352513</c:v>
                </c:pt>
                <c:pt idx="85">
                  <c:v>0.95183999364940919</c:v>
                </c:pt>
                <c:pt idx="86">
                  <c:v>0.95064600341100425</c:v>
                </c:pt>
                <c:pt idx="87">
                  <c:v>0.94948441713799636</c:v>
                </c:pt>
                <c:pt idx="88">
                  <c:v>0.94808381389637997</c:v>
                </c:pt>
                <c:pt idx="89">
                  <c:v>0.94672046217959682</c:v>
                </c:pt>
                <c:pt idx="90">
                  <c:v>0.94507522057770932</c:v>
                </c:pt>
              </c:numCache>
            </c:numRef>
          </c:yVal>
          <c:smooth val="0"/>
          <c:extLst>
            <c:ext xmlns:c16="http://schemas.microsoft.com/office/drawing/2014/chart" uri="{C3380CC4-5D6E-409C-BE32-E72D297353CC}">
              <c16:uniqueId val="{00000000-897F-442C-9FC9-F4409D5A436D}"/>
            </c:ext>
          </c:extLst>
        </c:ser>
        <c:ser>
          <c:idx val="1"/>
          <c:order val="1"/>
          <c:spPr>
            <a:ln w="25400">
              <a:solidFill>
                <a:srgbClr val="0000FF"/>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TSData1!$S$5:$S$95</c:f>
              <c:numCache>
                <c:formatCode>General</c:formatCode>
                <c:ptCount val="91"/>
                <c:pt idx="0">
                  <c:v>0</c:v>
                </c:pt>
                <c:pt idx="1">
                  <c:v>6.6162591780373536E-2</c:v>
                </c:pt>
                <c:pt idx="2">
                  <c:v>0.12409749837359212</c:v>
                </c:pt>
                <c:pt idx="3">
                  <c:v>0.17524836050145118</c:v>
                </c:pt>
                <c:pt idx="4">
                  <c:v>0.22073974300326671</c:v>
                </c:pt>
                <c:pt idx="5">
                  <c:v>0.26146067228632097</c:v>
                </c:pt>
                <c:pt idx="6">
                  <c:v>0.29812323446293554</c:v>
                </c:pt>
                <c:pt idx="7">
                  <c:v>0.33130450875268325</c:v>
                </c:pt>
                <c:pt idx="8">
                  <c:v>0.36147711510408292</c:v>
                </c:pt>
                <c:pt idx="9">
                  <c:v>0.38903182660469282</c:v>
                </c:pt>
                <c:pt idx="10">
                  <c:v>0.41429455172568236</c:v>
                </c:pt>
                <c:pt idx="11">
                  <c:v>0.4375392567057817</c:v>
                </c:pt>
                <c:pt idx="12">
                  <c:v>0.45899791701895792</c:v>
                </c:pt>
                <c:pt idx="13">
                  <c:v>0.47886826538418303</c:v>
                </c:pt>
                <c:pt idx="14">
                  <c:v>0.49731988526487014</c:v>
                </c:pt>
                <c:pt idx="15">
                  <c:v>0.51449904788059253</c:v>
                </c:pt>
                <c:pt idx="16">
                  <c:v>0.53053258495913058</c:v>
                </c:pt>
                <c:pt idx="17">
                  <c:v>0.54553101428032158</c:v>
                </c:pt>
                <c:pt idx="18">
                  <c:v>0.55959108096560162</c:v>
                </c:pt>
                <c:pt idx="19">
                  <c:v>0.57279783807986251</c:v>
                </c:pt>
                <c:pt idx="20">
                  <c:v>0.58522636112111281</c:v>
                </c:pt>
                <c:pt idx="21">
                  <c:v>0.5969431694164038</c:v>
                </c:pt>
                <c:pt idx="22">
                  <c:v>0.60800741126009716</c:v>
                </c:pt>
                <c:pt idx="23">
                  <c:v>0.61847185737407473</c:v>
                </c:pt>
                <c:pt idx="24">
                  <c:v>0.62838373790837854</c:v>
                </c:pt>
                <c:pt idx="25">
                  <c:v>0.63778545099454731</c:v>
                </c:pt>
                <c:pt idx="26">
                  <c:v>0.64671516527511175</c:v>
                </c:pt>
                <c:pt idx="27">
                  <c:v>0.65287479716577723</c:v>
                </c:pt>
                <c:pt idx="28">
                  <c:v>0.67163601408438089</c:v>
                </c:pt>
                <c:pt idx="29">
                  <c:v>0.68994739974561448</c:v>
                </c:pt>
                <c:pt idx="30">
                  <c:v>0.70710569304403514</c:v>
                </c:pt>
                <c:pt idx="31">
                  <c:v>0.72316792974282551</c:v>
                </c:pt>
                <c:pt idx="32">
                  <c:v>0.73819290537172289</c:v>
                </c:pt>
                <c:pt idx="33">
                  <c:v>0.75223985312066355</c:v>
                </c:pt>
                <c:pt idx="34">
                  <c:v>0.76536742295264715</c:v>
                </c:pt>
                <c:pt idx="35">
                  <c:v>0.7776329136757435</c:v>
                </c:pt>
                <c:pt idx="36">
                  <c:v>0.78909171382573662</c:v>
                </c:pt>
                <c:pt idx="37">
                  <c:v>0.79979691220118543</c:v>
                </c:pt>
                <c:pt idx="38">
                  <c:v>0.80979904414315462</c:v>
                </c:pt>
                <c:pt idx="39">
                  <c:v>0.81914594476396707</c:v>
                </c:pt>
                <c:pt idx="40">
                  <c:v>0.83037663314526144</c:v>
                </c:pt>
                <c:pt idx="41">
                  <c:v>0.83838527638682991</c:v>
                </c:pt>
                <c:pt idx="42">
                  <c:v>0.84587661044928319</c:v>
                </c:pt>
                <c:pt idx="43">
                  <c:v>0.85288687438776833</c:v>
                </c:pt>
                <c:pt idx="44">
                  <c:v>0.85944979790211773</c:v>
                </c:pt>
                <c:pt idx="45">
                  <c:v>0.86559672548714639</c:v>
                </c:pt>
                <c:pt idx="46">
                  <c:v>0.87135674822236653</c:v>
                </c:pt>
                <c:pt idx="47">
                  <c:v>0.87829869313444398</c:v>
                </c:pt>
                <c:pt idx="48">
                  <c:v>0.8832689349855487</c:v>
                </c:pt>
                <c:pt idx="49">
                  <c:v>0.88793381799937665</c:v>
                </c:pt>
                <c:pt idx="50">
                  <c:v>0.89230113830479807</c:v>
                </c:pt>
                <c:pt idx="51">
                  <c:v>0.89747675415631334</c:v>
                </c:pt>
                <c:pt idx="52">
                  <c:v>0.90115005878104781</c:v>
                </c:pt>
                <c:pt idx="53">
                  <c:v>0.90456641205008925</c:v>
                </c:pt>
                <c:pt idx="54">
                  <c:v>0.90859921188206827</c:v>
                </c:pt>
                <c:pt idx="55">
                  <c:v>0.9114987356370684</c:v>
                </c:pt>
                <c:pt idx="56">
                  <c:v>0.91420459926536968</c:v>
                </c:pt>
                <c:pt idx="57">
                  <c:v>0.91738440234033869</c:v>
                </c:pt>
                <c:pt idx="58">
                  <c:v>0.91969763572086016</c:v>
                </c:pt>
                <c:pt idx="59">
                  <c:v>0.92240415699938916</c:v>
                </c:pt>
                <c:pt idx="60">
                  <c:v>0.92438919047184054</c:v>
                </c:pt>
                <c:pt idx="61">
                  <c:v>0.92669953351397294</c:v>
                </c:pt>
                <c:pt idx="62">
                  <c:v>0.92840738005233892</c:v>
                </c:pt>
                <c:pt idx="63">
                  <c:v>0.93038263522034137</c:v>
                </c:pt>
                <c:pt idx="64">
                  <c:v>0.93185410326779594</c:v>
                </c:pt>
                <c:pt idx="65">
                  <c:v>0.93354315666171273</c:v>
                </c:pt>
                <c:pt idx="66">
                  <c:v>0.93481119061699192</c:v>
                </c:pt>
                <c:pt idx="67">
                  <c:v>0.93625350576876776</c:v>
                </c:pt>
                <c:pt idx="68">
                  <c:v>0.93734491600565439</c:v>
                </c:pt>
                <c:pt idx="69">
                  <c:v>0.93857259431202922</c:v>
                </c:pt>
                <c:pt idx="70">
                  <c:v>0.93950935289104742</c:v>
                </c:pt>
                <c:pt idx="71">
                  <c:v>0.94054867942958242</c:v>
                </c:pt>
                <c:pt idx="72">
                  <c:v>0.94149123641142973</c:v>
                </c:pt>
                <c:pt idx="73">
                  <c:v>0.94222151889068217</c:v>
                </c:pt>
                <c:pt idx="74">
                  <c:v>0.94300794447760661</c:v>
                </c:pt>
                <c:pt idx="75">
                  <c:v>0.94362402324219907</c:v>
                </c:pt>
                <c:pt idx="76">
                  <c:v>0.944270395868955</c:v>
                </c:pt>
                <c:pt idx="77">
                  <c:v>0.94478353442904672</c:v>
                </c:pt>
                <c:pt idx="78">
                  <c:v>0.9453032147760968</c:v>
                </c:pt>
                <c:pt idx="79">
                  <c:v>0.94575628554594593</c:v>
                </c:pt>
                <c:pt idx="80">
                  <c:v>0.94612692762207129</c:v>
                </c:pt>
                <c:pt idx="81">
                  <c:v>0.9464698440614927</c:v>
                </c:pt>
                <c:pt idx="82">
                  <c:v>0.9467586484431787</c:v>
                </c:pt>
                <c:pt idx="83">
                  <c:v>0.94699972253393094</c:v>
                </c:pt>
                <c:pt idx="84">
                  <c:v>0.94718627053389548</c:v>
                </c:pt>
                <c:pt idx="85">
                  <c:v>0.94732022684867123</c:v>
                </c:pt>
                <c:pt idx="86">
                  <c:v>0.94745361715717313</c:v>
                </c:pt>
                <c:pt idx="87">
                  <c:v>0.94749884159038278</c:v>
                </c:pt>
                <c:pt idx="88">
                  <c:v>0.94749578489508757</c:v>
                </c:pt>
                <c:pt idx="89">
                  <c:v>0.94744565016063631</c:v>
                </c:pt>
                <c:pt idx="90">
                  <c:v>0.94744138114567833</c:v>
                </c:pt>
              </c:numCache>
            </c:numRef>
          </c:yVal>
          <c:smooth val="0"/>
          <c:extLst>
            <c:ext xmlns:c16="http://schemas.microsoft.com/office/drawing/2014/chart" uri="{C3380CC4-5D6E-409C-BE32-E72D297353CC}">
              <c16:uniqueId val="{00000001-897F-442C-9FC9-F4409D5A436D}"/>
            </c:ext>
          </c:extLst>
        </c:ser>
        <c:dLbls>
          <c:showLegendKey val="0"/>
          <c:showVal val="0"/>
          <c:showCatName val="0"/>
          <c:showSerName val="0"/>
          <c:showPercent val="0"/>
          <c:showBubbleSize val="0"/>
        </c:dLbls>
        <c:axId val="224768392"/>
        <c:axId val="224768784"/>
      </c:scatterChart>
      <c:valAx>
        <c:axId val="224768392"/>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666806649168855"/>
              <c:y val="0.9281455985666462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4768784"/>
        <c:crosses val="autoZero"/>
        <c:crossBetween val="midCat"/>
      </c:valAx>
      <c:valAx>
        <c:axId val="224768784"/>
        <c:scaling>
          <c:orientation val="minMax"/>
          <c:max val="1"/>
          <c:min val="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Efficiency</a:t>
                </a:r>
              </a:p>
            </c:rich>
          </c:tx>
          <c:layout>
            <c:manualLayout>
              <c:xMode val="edge"/>
              <c:yMode val="edge"/>
              <c:x val="5.3333333333333871E-2"/>
              <c:y val="0.447106626641729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4768392"/>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 r="0.750000000000004" t="1" header="0.5" footer="0.5"/>
    <c:pageSetup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Advance</a:t>
            </a:r>
            <a:r>
              <a:rPr lang="en-US" baseline="0"/>
              <a:t> Angle</a:t>
            </a:r>
            <a:endParaRPr lang="en-US"/>
          </a:p>
        </c:rich>
      </c:tx>
      <c:layout>
        <c:manualLayout>
          <c:xMode val="edge"/>
          <c:yMode val="edge"/>
          <c:x val="0.3466677165354331"/>
          <c:y val="2.9940119760479261E-2"/>
        </c:manualLayout>
      </c:layout>
      <c:overlay val="0"/>
      <c:spPr>
        <a:noFill/>
        <a:ln w="25400">
          <a:noFill/>
        </a:ln>
      </c:spPr>
    </c:title>
    <c:autoTitleDeleted val="0"/>
    <c:plotArea>
      <c:layout>
        <c:manualLayout>
          <c:layoutTarget val="inner"/>
          <c:xMode val="edge"/>
          <c:yMode val="edge"/>
          <c:x val="0.20666733941191345"/>
          <c:y val="0.13173678373094391"/>
          <c:w val="0.70000227865325082"/>
          <c:h val="0.74251641739259666"/>
        </c:manualLayout>
      </c:layout>
      <c:scatterChart>
        <c:scatterStyle val="lineMarker"/>
        <c:varyColors val="0"/>
        <c:ser>
          <c:idx val="2"/>
          <c:order val="0"/>
          <c:spPr>
            <a:ln w="25400">
              <a:solidFill>
                <a:schemeClr val="accent1">
                  <a:lumMod val="75000"/>
                </a:schemeClr>
              </a:solidFill>
              <a:prstDash val="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TSData1!$AU$5:$AU$95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0.2</c:v>
                </c:pt>
                <c:pt idx="67">
                  <c:v>2.6</c:v>
                </c:pt>
                <c:pt idx="68">
                  <c:v>5.0000000000000018</c:v>
                </c:pt>
                <c:pt idx="69">
                  <c:v>7.2000000000000037</c:v>
                </c:pt>
                <c:pt idx="70">
                  <c:v>9.3999999999999986</c:v>
                </c:pt>
                <c:pt idx="71">
                  <c:v>11.399999999999991</c:v>
                </c:pt>
                <c:pt idx="72">
                  <c:v>13.399999999999984</c:v>
                </c:pt>
                <c:pt idx="73">
                  <c:v>15.399999999999977</c:v>
                </c:pt>
                <c:pt idx="74">
                  <c:v>17.199999999999971</c:v>
                </c:pt>
                <c:pt idx="75">
                  <c:v>18.999999999999964</c:v>
                </c:pt>
                <c:pt idx="76">
                  <c:v>20.799999999999958</c:v>
                </c:pt>
                <c:pt idx="77">
                  <c:v>22.399999999999952</c:v>
                </c:pt>
                <c:pt idx="78">
                  <c:v>24.199999999999946</c:v>
                </c:pt>
                <c:pt idx="79">
                  <c:v>25.79999999999994</c:v>
                </c:pt>
                <c:pt idx="80">
                  <c:v>27.399999999999935</c:v>
                </c:pt>
                <c:pt idx="81">
                  <c:v>28.999999999999929</c:v>
                </c:pt>
                <c:pt idx="82">
                  <c:v>30.599999999999923</c:v>
                </c:pt>
                <c:pt idx="83">
                  <c:v>32.199999999999918</c:v>
                </c:pt>
                <c:pt idx="84">
                  <c:v>33.599999999999937</c:v>
                </c:pt>
                <c:pt idx="85">
                  <c:v>35.19999999999996</c:v>
                </c:pt>
                <c:pt idx="86">
                  <c:v>36.799999999999983</c:v>
                </c:pt>
                <c:pt idx="87">
                  <c:v>38.200000000000003</c:v>
                </c:pt>
                <c:pt idx="88">
                  <c:v>39.800000000000026</c:v>
                </c:pt>
                <c:pt idx="89">
                  <c:v>41.200000000000045</c:v>
                </c:pt>
                <c:pt idx="90">
                  <c:v>42.800000000000068</c:v>
                </c:pt>
              </c:numCache>
            </c:numRef>
          </c:yVal>
          <c:smooth val="0"/>
          <c:extLst>
            <c:ext xmlns:c16="http://schemas.microsoft.com/office/drawing/2014/chart" uri="{C3380CC4-5D6E-409C-BE32-E72D297353CC}">
              <c16:uniqueId val="{00000000-35ED-4F22-AAC7-E0DA6DF522F4}"/>
            </c:ext>
          </c:extLst>
        </c:ser>
        <c:ser>
          <c:idx val="3"/>
          <c:order val="1"/>
          <c:spPr>
            <a:ln>
              <a:solidFill>
                <a:schemeClr val="accent1">
                  <a:lumMod val="75000"/>
                </a:schemeClr>
              </a:solidFill>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TSData1!$AT$5:$AT$95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8.2000000000000028</c:v>
                </c:pt>
                <c:pt idx="28">
                  <c:v>11.999999999999989</c:v>
                </c:pt>
                <c:pt idx="29">
                  <c:v>12.399999999999988</c:v>
                </c:pt>
                <c:pt idx="30">
                  <c:v>12.799999999999986</c:v>
                </c:pt>
                <c:pt idx="31">
                  <c:v>13.199999999999985</c:v>
                </c:pt>
                <c:pt idx="32">
                  <c:v>13.599999999999984</c:v>
                </c:pt>
                <c:pt idx="33">
                  <c:v>13.999999999999982</c:v>
                </c:pt>
                <c:pt idx="34">
                  <c:v>14.399999999999981</c:v>
                </c:pt>
                <c:pt idx="35">
                  <c:v>14.799999999999979</c:v>
                </c:pt>
                <c:pt idx="36">
                  <c:v>15.199999999999978</c:v>
                </c:pt>
                <c:pt idx="37">
                  <c:v>15.599999999999977</c:v>
                </c:pt>
                <c:pt idx="38">
                  <c:v>15.999999999999975</c:v>
                </c:pt>
                <c:pt idx="39">
                  <c:v>16.399999999999974</c:v>
                </c:pt>
                <c:pt idx="40">
                  <c:v>16.999999999999972</c:v>
                </c:pt>
                <c:pt idx="41">
                  <c:v>17.39999999999997</c:v>
                </c:pt>
                <c:pt idx="42">
                  <c:v>17.799999999999969</c:v>
                </c:pt>
                <c:pt idx="43">
                  <c:v>18.199999999999967</c:v>
                </c:pt>
                <c:pt idx="44">
                  <c:v>18.599999999999966</c:v>
                </c:pt>
                <c:pt idx="45">
                  <c:v>18.999999999999964</c:v>
                </c:pt>
                <c:pt idx="46">
                  <c:v>19.399999999999963</c:v>
                </c:pt>
                <c:pt idx="47">
                  <c:v>19.999999999999961</c:v>
                </c:pt>
                <c:pt idx="48">
                  <c:v>20.399999999999959</c:v>
                </c:pt>
                <c:pt idx="49">
                  <c:v>20.799999999999958</c:v>
                </c:pt>
                <c:pt idx="50">
                  <c:v>21.199999999999957</c:v>
                </c:pt>
                <c:pt idx="51">
                  <c:v>21.799999999999955</c:v>
                </c:pt>
                <c:pt idx="52">
                  <c:v>22.199999999999953</c:v>
                </c:pt>
                <c:pt idx="53">
                  <c:v>22.599999999999952</c:v>
                </c:pt>
                <c:pt idx="54">
                  <c:v>23.19999999999995</c:v>
                </c:pt>
                <c:pt idx="55">
                  <c:v>23.599999999999948</c:v>
                </c:pt>
                <c:pt idx="56">
                  <c:v>23.999999999999947</c:v>
                </c:pt>
                <c:pt idx="57">
                  <c:v>24.599999999999945</c:v>
                </c:pt>
                <c:pt idx="58">
                  <c:v>24.999999999999943</c:v>
                </c:pt>
                <c:pt idx="59">
                  <c:v>25.599999999999941</c:v>
                </c:pt>
                <c:pt idx="60">
                  <c:v>25.99999999999994</c:v>
                </c:pt>
                <c:pt idx="61">
                  <c:v>26.599999999999937</c:v>
                </c:pt>
                <c:pt idx="62">
                  <c:v>26.999999999999936</c:v>
                </c:pt>
                <c:pt idx="63">
                  <c:v>27.599999999999934</c:v>
                </c:pt>
                <c:pt idx="64">
                  <c:v>27.999999999999932</c:v>
                </c:pt>
                <c:pt idx="65">
                  <c:v>28.59999999999993</c:v>
                </c:pt>
                <c:pt idx="66">
                  <c:v>28.999999999999929</c:v>
                </c:pt>
                <c:pt idx="67">
                  <c:v>29.599999999999927</c:v>
                </c:pt>
                <c:pt idx="68">
                  <c:v>29.999999999999925</c:v>
                </c:pt>
                <c:pt idx="69">
                  <c:v>30.599999999999923</c:v>
                </c:pt>
                <c:pt idx="70">
                  <c:v>30.999999999999922</c:v>
                </c:pt>
                <c:pt idx="71">
                  <c:v>31.59999999999992</c:v>
                </c:pt>
                <c:pt idx="72">
                  <c:v>32.199999999999918</c:v>
                </c:pt>
                <c:pt idx="73">
                  <c:v>32.599999999999923</c:v>
                </c:pt>
                <c:pt idx="74">
                  <c:v>33.199999999999932</c:v>
                </c:pt>
                <c:pt idx="75">
                  <c:v>33.599999999999937</c:v>
                </c:pt>
                <c:pt idx="76">
                  <c:v>34.199999999999946</c:v>
                </c:pt>
                <c:pt idx="77">
                  <c:v>34.599999999999952</c:v>
                </c:pt>
                <c:pt idx="78">
                  <c:v>35.19999999999996</c:v>
                </c:pt>
                <c:pt idx="79">
                  <c:v>35.799999999999969</c:v>
                </c:pt>
                <c:pt idx="80">
                  <c:v>36.199999999999974</c:v>
                </c:pt>
                <c:pt idx="81">
                  <c:v>36.799999999999983</c:v>
                </c:pt>
                <c:pt idx="82">
                  <c:v>37.199999999999989</c:v>
                </c:pt>
                <c:pt idx="83">
                  <c:v>37.799999999999997</c:v>
                </c:pt>
                <c:pt idx="84">
                  <c:v>38.400000000000006</c:v>
                </c:pt>
                <c:pt idx="85">
                  <c:v>39.000000000000014</c:v>
                </c:pt>
                <c:pt idx="86">
                  <c:v>39.40000000000002</c:v>
                </c:pt>
                <c:pt idx="87">
                  <c:v>40.000000000000028</c:v>
                </c:pt>
                <c:pt idx="88">
                  <c:v>40.600000000000037</c:v>
                </c:pt>
                <c:pt idx="89">
                  <c:v>41.200000000000045</c:v>
                </c:pt>
                <c:pt idx="90">
                  <c:v>41.600000000000051</c:v>
                </c:pt>
              </c:numCache>
            </c:numRef>
          </c:yVal>
          <c:smooth val="0"/>
          <c:extLst>
            <c:ext xmlns:c16="http://schemas.microsoft.com/office/drawing/2014/chart" uri="{C3380CC4-5D6E-409C-BE32-E72D297353CC}">
              <c16:uniqueId val="{00000001-35ED-4F22-AAC7-E0DA6DF522F4}"/>
            </c:ext>
          </c:extLst>
        </c:ser>
        <c:dLbls>
          <c:showLegendKey val="0"/>
          <c:showVal val="0"/>
          <c:showCatName val="0"/>
          <c:showSerName val="0"/>
          <c:showPercent val="0"/>
          <c:showBubbleSize val="0"/>
        </c:dLbls>
        <c:axId val="565849664"/>
        <c:axId val="221863936"/>
      </c:scatterChart>
      <c:valAx>
        <c:axId val="565849664"/>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666806649168855"/>
              <c:y val="0.9281455985666462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1863936"/>
        <c:crosses val="autoZero"/>
        <c:crossBetween val="midCat"/>
      </c:valAx>
      <c:valAx>
        <c:axId val="22186393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Advance</a:t>
                </a:r>
                <a:r>
                  <a:rPr lang="en-US" baseline="0"/>
                  <a:t> Angle</a:t>
                </a:r>
                <a:endParaRPr lang="en-US"/>
              </a:p>
            </c:rich>
          </c:tx>
          <c:layout>
            <c:manualLayout>
              <c:xMode val="edge"/>
              <c:yMode val="edge"/>
              <c:x val="5.3333333333333906E-2"/>
              <c:y val="0.447106626641729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65849664"/>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22" r="0.75000000000000422" t="1" header="0.5" footer="0.5"/>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1" i="0" u="none" strike="noStrike" baseline="0">
                <a:solidFill>
                  <a:srgbClr val="000000"/>
                </a:solidFill>
                <a:latin typeface="Arial"/>
                <a:ea typeface="Arial"/>
                <a:cs typeface="Arial"/>
              </a:defRPr>
            </a:pPr>
            <a:r>
              <a:rPr lang="en-US"/>
              <a:t>Voltages</a:t>
            </a:r>
          </a:p>
        </c:rich>
      </c:tx>
      <c:layout>
        <c:manualLayout>
          <c:xMode val="edge"/>
          <c:yMode val="edge"/>
          <c:x val="0.39679316401239317"/>
          <c:y val="3.7924151696606789E-2"/>
        </c:manualLayout>
      </c:layout>
      <c:overlay val="0"/>
      <c:spPr>
        <a:noFill/>
        <a:ln w="25400">
          <a:noFill/>
        </a:ln>
      </c:spPr>
    </c:title>
    <c:autoTitleDeleted val="0"/>
    <c:plotArea>
      <c:layout>
        <c:manualLayout>
          <c:layoutTarget val="inner"/>
          <c:xMode val="edge"/>
          <c:yMode val="edge"/>
          <c:x val="0.20666733941191351"/>
          <c:y val="0.13173678373094391"/>
          <c:w val="0.70000227865325082"/>
          <c:h val="0.74251641739259688"/>
        </c:manualLayout>
      </c:layout>
      <c:scatterChart>
        <c:scatterStyle val="lineMarker"/>
        <c:varyColors val="0"/>
        <c:ser>
          <c:idx val="2"/>
          <c:order val="0"/>
          <c:spPr>
            <a:ln w="38100">
              <a:solidFill>
                <a:schemeClr val="accent3">
                  <a:lumMod val="75000"/>
                </a:schemeClr>
              </a:solidFill>
              <a:prstDash val="solid"/>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TSData1!$AW$5:$AW$95</c:f>
              <c:numCache>
                <c:formatCode>General</c:formatCode>
                <c:ptCount val="91"/>
                <c:pt idx="0">
                  <c:v>300</c:v>
                </c:pt>
                <c:pt idx="1">
                  <c:v>300</c:v>
                </c:pt>
                <c:pt idx="2">
                  <c:v>300</c:v>
                </c:pt>
                <c:pt idx="3">
                  <c:v>300</c:v>
                </c:pt>
                <c:pt idx="4">
                  <c:v>300</c:v>
                </c:pt>
                <c:pt idx="5">
                  <c:v>300</c:v>
                </c:pt>
                <c:pt idx="6">
                  <c:v>300</c:v>
                </c:pt>
                <c:pt idx="7">
                  <c:v>300</c:v>
                </c:pt>
                <c:pt idx="8">
                  <c:v>300</c:v>
                </c:pt>
                <c:pt idx="9">
                  <c:v>300</c:v>
                </c:pt>
                <c:pt idx="10">
                  <c:v>300</c:v>
                </c:pt>
                <c:pt idx="11">
                  <c:v>300</c:v>
                </c:pt>
                <c:pt idx="12">
                  <c:v>300</c:v>
                </c:pt>
                <c:pt idx="13">
                  <c:v>300</c:v>
                </c:pt>
                <c:pt idx="14">
                  <c:v>300</c:v>
                </c:pt>
                <c:pt idx="15">
                  <c:v>300</c:v>
                </c:pt>
                <c:pt idx="16">
                  <c:v>300</c:v>
                </c:pt>
                <c:pt idx="17">
                  <c:v>300</c:v>
                </c:pt>
                <c:pt idx="18">
                  <c:v>300</c:v>
                </c:pt>
                <c:pt idx="19">
                  <c:v>300</c:v>
                </c:pt>
                <c:pt idx="20">
                  <c:v>300</c:v>
                </c:pt>
                <c:pt idx="21">
                  <c:v>300</c:v>
                </c:pt>
                <c:pt idx="22">
                  <c:v>300</c:v>
                </c:pt>
                <c:pt idx="23">
                  <c:v>300</c:v>
                </c:pt>
                <c:pt idx="24">
                  <c:v>300</c:v>
                </c:pt>
                <c:pt idx="25">
                  <c:v>300</c:v>
                </c:pt>
                <c:pt idx="26">
                  <c:v>300</c:v>
                </c:pt>
                <c:pt idx="27">
                  <c:v>300</c:v>
                </c:pt>
                <c:pt idx="28">
                  <c:v>300</c:v>
                </c:pt>
                <c:pt idx="29">
                  <c:v>300</c:v>
                </c:pt>
                <c:pt idx="30">
                  <c:v>300</c:v>
                </c:pt>
                <c:pt idx="31">
                  <c:v>300</c:v>
                </c:pt>
                <c:pt idx="32">
                  <c:v>300</c:v>
                </c:pt>
                <c:pt idx="33">
                  <c:v>300</c:v>
                </c:pt>
                <c:pt idx="34">
                  <c:v>300</c:v>
                </c:pt>
                <c:pt idx="35">
                  <c:v>300</c:v>
                </c:pt>
                <c:pt idx="36">
                  <c:v>300</c:v>
                </c:pt>
                <c:pt idx="37">
                  <c:v>300</c:v>
                </c:pt>
                <c:pt idx="38">
                  <c:v>300</c:v>
                </c:pt>
                <c:pt idx="39">
                  <c:v>300</c:v>
                </c:pt>
                <c:pt idx="40">
                  <c:v>300</c:v>
                </c:pt>
                <c:pt idx="41">
                  <c:v>300</c:v>
                </c:pt>
                <c:pt idx="42">
                  <c:v>300</c:v>
                </c:pt>
                <c:pt idx="43">
                  <c:v>300</c:v>
                </c:pt>
                <c:pt idx="44">
                  <c:v>300</c:v>
                </c:pt>
                <c:pt idx="45">
                  <c:v>300</c:v>
                </c:pt>
                <c:pt idx="46">
                  <c:v>300</c:v>
                </c:pt>
                <c:pt idx="47">
                  <c:v>300</c:v>
                </c:pt>
                <c:pt idx="48">
                  <c:v>300</c:v>
                </c:pt>
                <c:pt idx="49">
                  <c:v>300</c:v>
                </c:pt>
                <c:pt idx="50">
                  <c:v>300</c:v>
                </c:pt>
                <c:pt idx="51">
                  <c:v>300</c:v>
                </c:pt>
                <c:pt idx="52">
                  <c:v>300</c:v>
                </c:pt>
                <c:pt idx="53">
                  <c:v>300</c:v>
                </c:pt>
                <c:pt idx="54">
                  <c:v>300</c:v>
                </c:pt>
                <c:pt idx="55">
                  <c:v>300</c:v>
                </c:pt>
                <c:pt idx="56">
                  <c:v>300</c:v>
                </c:pt>
                <c:pt idx="57">
                  <c:v>300</c:v>
                </c:pt>
                <c:pt idx="58">
                  <c:v>300</c:v>
                </c:pt>
                <c:pt idx="59">
                  <c:v>300</c:v>
                </c:pt>
                <c:pt idx="60">
                  <c:v>300</c:v>
                </c:pt>
                <c:pt idx="61">
                  <c:v>300</c:v>
                </c:pt>
                <c:pt idx="62">
                  <c:v>300</c:v>
                </c:pt>
                <c:pt idx="63">
                  <c:v>300</c:v>
                </c:pt>
                <c:pt idx="64">
                  <c:v>300</c:v>
                </c:pt>
                <c:pt idx="65">
                  <c:v>300</c:v>
                </c:pt>
                <c:pt idx="66">
                  <c:v>300</c:v>
                </c:pt>
                <c:pt idx="67">
                  <c:v>300</c:v>
                </c:pt>
                <c:pt idx="68">
                  <c:v>300</c:v>
                </c:pt>
                <c:pt idx="69">
                  <c:v>300</c:v>
                </c:pt>
                <c:pt idx="70">
                  <c:v>300</c:v>
                </c:pt>
                <c:pt idx="71">
                  <c:v>300</c:v>
                </c:pt>
                <c:pt idx="72">
                  <c:v>300</c:v>
                </c:pt>
                <c:pt idx="73">
                  <c:v>300</c:v>
                </c:pt>
                <c:pt idx="74">
                  <c:v>300</c:v>
                </c:pt>
                <c:pt idx="75">
                  <c:v>300</c:v>
                </c:pt>
                <c:pt idx="76">
                  <c:v>300</c:v>
                </c:pt>
                <c:pt idx="77">
                  <c:v>300</c:v>
                </c:pt>
                <c:pt idx="78">
                  <c:v>300</c:v>
                </c:pt>
                <c:pt idx="79">
                  <c:v>300</c:v>
                </c:pt>
                <c:pt idx="80">
                  <c:v>300</c:v>
                </c:pt>
                <c:pt idx="81">
                  <c:v>300</c:v>
                </c:pt>
                <c:pt idx="82">
                  <c:v>300</c:v>
                </c:pt>
                <c:pt idx="83">
                  <c:v>300</c:v>
                </c:pt>
                <c:pt idx="84">
                  <c:v>300</c:v>
                </c:pt>
                <c:pt idx="85">
                  <c:v>300</c:v>
                </c:pt>
                <c:pt idx="86">
                  <c:v>300</c:v>
                </c:pt>
                <c:pt idx="87">
                  <c:v>300</c:v>
                </c:pt>
                <c:pt idx="88">
                  <c:v>300</c:v>
                </c:pt>
                <c:pt idx="89">
                  <c:v>300</c:v>
                </c:pt>
                <c:pt idx="90">
                  <c:v>300</c:v>
                </c:pt>
              </c:numCache>
            </c:numRef>
          </c:yVal>
          <c:smooth val="0"/>
          <c:extLst>
            <c:ext xmlns:c16="http://schemas.microsoft.com/office/drawing/2014/chart" uri="{C3380CC4-5D6E-409C-BE32-E72D297353CC}">
              <c16:uniqueId val="{00000000-A0AF-4349-941F-DEAD347AE82F}"/>
            </c:ext>
          </c:extLst>
        </c:ser>
        <c:ser>
          <c:idx val="3"/>
          <c:order val="1"/>
          <c:spPr>
            <a:ln>
              <a:solidFill>
                <a:schemeClr val="accent1">
                  <a:lumMod val="75000"/>
                </a:schemeClr>
              </a:solidFill>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TSData1!$AX$5:$AX$95</c:f>
              <c:numCache>
                <c:formatCode>General</c:formatCode>
                <c:ptCount val="91"/>
                <c:pt idx="0">
                  <c:v>27.383503257372489</c:v>
                </c:pt>
                <c:pt idx="1">
                  <c:v>30.926129335103361</c:v>
                </c:pt>
                <c:pt idx="2">
                  <c:v>36.917740710140983</c:v>
                </c:pt>
                <c:pt idx="3">
                  <c:v>44.377031303105035</c:v>
                </c:pt>
                <c:pt idx="4">
                  <c:v>52.684039097713558</c:v>
                </c:pt>
                <c:pt idx="5">
                  <c:v>61.495979293818557</c:v>
                </c:pt>
                <c:pt idx="6">
                  <c:v>70.623892860543776</c:v>
                </c:pt>
                <c:pt idx="7">
                  <c:v>79.959435466463688</c:v>
                </c:pt>
                <c:pt idx="8">
                  <c:v>89.437407693467932</c:v>
                </c:pt>
                <c:pt idx="9">
                  <c:v>99.016712379379612</c:v>
                </c:pt>
                <c:pt idx="10">
                  <c:v>108.67035087570125</c:v>
                </c:pt>
                <c:pt idx="11">
                  <c:v>118.37993531236036</c:v>
                </c:pt>
                <c:pt idx="12">
                  <c:v>128.1325445702735</c:v>
                </c:pt>
                <c:pt idx="13">
                  <c:v>137.91884890051242</c:v>
                </c:pt>
                <c:pt idx="14">
                  <c:v>147.73194985686351</c:v>
                </c:pt>
                <c:pt idx="15">
                  <c:v>157.56663904324418</c:v>
                </c:pt>
                <c:pt idx="16">
                  <c:v>167.41891060032663</c:v>
                </c:pt>
                <c:pt idx="17">
                  <c:v>177.28563222152638</c:v>
                </c:pt>
                <c:pt idx="18">
                  <c:v>187.16431798913598</c:v>
                </c:pt>
                <c:pt idx="19">
                  <c:v>197.05296825347691</c:v>
                </c:pt>
                <c:pt idx="20">
                  <c:v>206.9499546568681</c:v>
                </c:pt>
                <c:pt idx="21">
                  <c:v>216.85393617937109</c:v>
                </c:pt>
                <c:pt idx="22">
                  <c:v>226.76379689731181</c:v>
                </c:pt>
                <c:pt idx="23">
                  <c:v>236.67859919576136</c:v>
                </c:pt>
                <c:pt idx="24">
                  <c:v>246.59754814994889</c:v>
                </c:pt>
                <c:pt idx="25">
                  <c:v>256.51996409278252</c:v>
                </c:pt>
                <c:pt idx="26">
                  <c:v>266.44526126017263</c:v>
                </c:pt>
                <c:pt idx="27">
                  <c:v>269.85591617292783</c:v>
                </c:pt>
                <c:pt idx="28">
                  <c:v>266.05021716702407</c:v>
                </c:pt>
                <c:pt idx="29">
                  <c:v>266.46578193579546</c:v>
                </c:pt>
                <c:pt idx="30">
                  <c:v>266.85477805175742</c:v>
                </c:pt>
                <c:pt idx="31">
                  <c:v>267.22123816751326</c:v>
                </c:pt>
                <c:pt idx="32">
                  <c:v>267.5690361461489</c:v>
                </c:pt>
                <c:pt idx="33">
                  <c:v>267.90192174735353</c:v>
                </c:pt>
                <c:pt idx="34">
                  <c:v>268.22355064009918</c:v>
                </c:pt>
                <c:pt idx="35">
                  <c:v>268.53751045940817</c:v>
                </c:pt>
                <c:pt idx="36">
                  <c:v>268.84734349836532</c:v>
                </c:pt>
                <c:pt idx="37">
                  <c:v>269.15656652168872</c:v>
                </c:pt>
                <c:pt idx="38">
                  <c:v>269.46868810028923</c:v>
                </c:pt>
                <c:pt idx="39">
                  <c:v>269.78722379425932</c:v>
                </c:pt>
                <c:pt idx="40">
                  <c:v>267.05663798773168</c:v>
                </c:pt>
                <c:pt idx="41">
                  <c:v>267.48087655691103</c:v>
                </c:pt>
                <c:pt idx="42">
                  <c:v>267.92038869783948</c:v>
                </c:pt>
                <c:pt idx="43">
                  <c:v>268.37906927358006</c:v>
                </c:pt>
                <c:pt idx="44">
                  <c:v>268.8608560912848</c:v>
                </c:pt>
                <c:pt idx="45">
                  <c:v>269.36973773926337</c:v>
                </c:pt>
                <c:pt idx="46">
                  <c:v>269.90976015169554</c:v>
                </c:pt>
                <c:pt idx="47">
                  <c:v>268.01702245763198</c:v>
                </c:pt>
                <c:pt idx="48">
                  <c:v>268.65337222480866</c:v>
                </c:pt>
                <c:pt idx="49">
                  <c:v>269.29501867038238</c:v>
                </c:pt>
                <c:pt idx="50">
                  <c:v>269.94203361390953</c:v>
                </c:pt>
                <c:pt idx="51">
                  <c:v>268.38344657525846</c:v>
                </c:pt>
                <c:pt idx="52">
                  <c:v>269.08601907135142</c:v>
                </c:pt>
                <c:pt idx="53">
                  <c:v>269.79193861805112</c:v>
                </c:pt>
                <c:pt idx="54">
                  <c:v>268.45876962176095</c:v>
                </c:pt>
                <c:pt idx="55">
                  <c:v>269.2091610241751</c:v>
                </c:pt>
                <c:pt idx="56">
                  <c:v>269.96073705355144</c:v>
                </c:pt>
                <c:pt idx="57">
                  <c:v>268.81516685476998</c:v>
                </c:pt>
                <c:pt idx="58">
                  <c:v>269.60084537146787</c:v>
                </c:pt>
                <c:pt idx="59">
                  <c:v>268.58172469107228</c:v>
                </c:pt>
                <c:pt idx="60">
                  <c:v>269.39363830001935</c:v>
                </c:pt>
                <c:pt idx="61">
                  <c:v>268.48275165011574</c:v>
                </c:pt>
                <c:pt idx="62">
                  <c:v>269.31341026514457</c:v>
                </c:pt>
                <c:pt idx="63">
                  <c:v>268.49389704104118</c:v>
                </c:pt>
                <c:pt idx="64">
                  <c:v>269.33609630212368</c:v>
                </c:pt>
                <c:pt idx="65">
                  <c:v>268.59220759963927</c:v>
                </c:pt>
                <c:pt idx="66">
                  <c:v>269.4389549707941</c:v>
                </c:pt>
                <c:pt idx="67">
                  <c:v>268.75585332552879</c:v>
                </c:pt>
                <c:pt idx="68">
                  <c:v>269.60030685139981</c:v>
                </c:pt>
                <c:pt idx="69">
                  <c:v>268.96389848757565</c:v>
                </c:pt>
                <c:pt idx="70">
                  <c:v>269.79931454053133</c:v>
                </c:pt>
                <c:pt idx="71">
                  <c:v>269.1961063143699</c:v>
                </c:pt>
                <c:pt idx="72">
                  <c:v>268.61818118818803</c:v>
                </c:pt>
                <c:pt idx="73">
                  <c:v>269.43276873155173</c:v>
                </c:pt>
                <c:pt idx="74">
                  <c:v>268.86678063190482</c:v>
                </c:pt>
                <c:pt idx="75">
                  <c:v>269.6545545730886</c:v>
                </c:pt>
                <c:pt idx="76">
                  <c:v>269.0881044804313</c:v>
                </c:pt>
                <c:pt idx="77">
                  <c:v>269.84535575269484</c:v>
                </c:pt>
                <c:pt idx="78">
                  <c:v>269.30603833883237</c:v>
                </c:pt>
                <c:pt idx="79">
                  <c:v>268.81165593305343</c:v>
                </c:pt>
                <c:pt idx="80">
                  <c:v>269.59273651043156</c:v>
                </c:pt>
                <c:pt idx="81">
                  <c:v>269.15411263077755</c:v>
                </c:pt>
                <c:pt idx="82">
                  <c:v>269.94639600766607</c:v>
                </c:pt>
                <c:pt idx="83">
                  <c:v>269.56047543998892</c:v>
                </c:pt>
                <c:pt idx="84">
                  <c:v>269.21295081421368</c:v>
                </c:pt>
                <c:pt idx="85">
                  <c:v>268.90227545108587</c:v>
                </c:pt>
                <c:pt idx="86">
                  <c:v>269.72764576068101</c:v>
                </c:pt>
                <c:pt idx="87">
                  <c:v>269.46276390301392</c:v>
                </c:pt>
                <c:pt idx="88">
                  <c:v>269.23136863047972</c:v>
                </c:pt>
                <c:pt idx="89">
                  <c:v>269.03213838133956</c:v>
                </c:pt>
                <c:pt idx="90">
                  <c:v>269.88585353753695</c:v>
                </c:pt>
              </c:numCache>
            </c:numRef>
          </c:yVal>
          <c:smooth val="0"/>
          <c:extLst>
            <c:ext xmlns:c16="http://schemas.microsoft.com/office/drawing/2014/chart" uri="{C3380CC4-5D6E-409C-BE32-E72D297353CC}">
              <c16:uniqueId val="{00000001-A0AF-4349-941F-DEAD347AE82F}"/>
            </c:ext>
          </c:extLst>
        </c:ser>
        <c:ser>
          <c:idx val="0"/>
          <c:order val="2"/>
          <c:spPr>
            <a:ln>
              <a:prstDash val="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TSData1!$AY$5:$AY$95</c:f>
              <c:numCache>
                <c:formatCode>General</c:formatCode>
                <c:ptCount val="91"/>
                <c:pt idx="0">
                  <c:v>5.4767006514744985</c:v>
                </c:pt>
                <c:pt idx="1">
                  <c:v>9.3109037099542586</c:v>
                </c:pt>
                <c:pt idx="2">
                  <c:v>13.317444840954758</c:v>
                </c:pt>
                <c:pt idx="3">
                  <c:v>17.376921789981342</c:v>
                </c:pt>
                <c:pt idx="4">
                  <c:v>21.458740135247556</c:v>
                </c:pt>
                <c:pt idx="5">
                  <c:v>25.551644002789089</c:v>
                </c:pt>
                <c:pt idx="6">
                  <c:v>29.650507976928022</c:v>
                </c:pt>
                <c:pt idx="7">
                  <c:v>33.752637910974464</c:v>
                </c:pt>
                <c:pt idx="8">
                  <c:v>37.856458847389248</c:v>
                </c:pt>
                <c:pt idx="9">
                  <c:v>41.960969063241514</c:v>
                </c:pt>
                <c:pt idx="10">
                  <c:v>46.065485019850492</c:v>
                </c:pt>
                <c:pt idx="11">
                  <c:v>50.169511240550868</c:v>
                </c:pt>
                <c:pt idx="12">
                  <c:v>54.272669150657421</c:v>
                </c:pt>
                <c:pt idx="13">
                  <c:v>58.374655910575875</c:v>
                </c:pt>
                <c:pt idx="14">
                  <c:v>62.475219465623191</c:v>
                </c:pt>
                <c:pt idx="15">
                  <c:v>66.574142819878134</c:v>
                </c:pt>
                <c:pt idx="16">
                  <c:v>70.671233786267663</c:v>
                </c:pt>
                <c:pt idx="17">
                  <c:v>74.766318109363084</c:v>
                </c:pt>
                <c:pt idx="18">
                  <c:v>78.859234732469659</c:v>
                </c:pt>
                <c:pt idx="19">
                  <c:v>82.949832466468465</c:v>
                </c:pt>
                <c:pt idx="20">
                  <c:v>87.037967597775179</c:v>
                </c:pt>
                <c:pt idx="21">
                  <c:v>91.12350213934441</c:v>
                </c:pt>
                <c:pt idx="22">
                  <c:v>95.206302530663351</c:v>
                </c:pt>
                <c:pt idx="23">
                  <c:v>99.286238656784832</c:v>
                </c:pt>
                <c:pt idx="24">
                  <c:v>103.36318309767644</c:v>
                </c:pt>
                <c:pt idx="25">
                  <c:v>107.43701054623624</c:v>
                </c:pt>
                <c:pt idx="26">
                  <c:v>111.50759735144345</c:v>
                </c:pt>
                <c:pt idx="27">
                  <c:v>115.57482115545129</c:v>
                </c:pt>
                <c:pt idx="28">
                  <c:v>119.63856060196447</c:v>
                </c:pt>
                <c:pt idx="29">
                  <c:v>123.69869509923591</c:v>
                </c:pt>
                <c:pt idx="30">
                  <c:v>127.75510462528133</c:v>
                </c:pt>
                <c:pt idx="31">
                  <c:v>131.8076695659804</c:v>
                </c:pt>
                <c:pt idx="32">
                  <c:v>135.85627057897244</c:v>
                </c:pt>
                <c:pt idx="33">
                  <c:v>139.90078847790159</c:v>
                </c:pt>
                <c:pt idx="34">
                  <c:v>143.94110413279464</c:v>
                </c:pt>
                <c:pt idx="35">
                  <c:v>147.97709838327231</c:v>
                </c:pt>
                <c:pt idx="36">
                  <c:v>152.00865196199459</c:v>
                </c:pt>
                <c:pt idx="37">
                  <c:v>156.03564542627078</c:v>
                </c:pt>
                <c:pt idx="38">
                  <c:v>160.05795909617342</c:v>
                </c:pt>
                <c:pt idx="39">
                  <c:v>164.0754729978128</c:v>
                </c:pt>
                <c:pt idx="40">
                  <c:v>168.08806681067324</c:v>
                </c:pt>
                <c:pt idx="41">
                  <c:v>172.09561981810495</c:v>
                </c:pt>
                <c:pt idx="42">
                  <c:v>176.0980108602177</c:v>
                </c:pt>
                <c:pt idx="43">
                  <c:v>180.09511828853866</c:v>
                </c:pt>
                <c:pt idx="44">
                  <c:v>184.08681992189267</c:v>
                </c:pt>
                <c:pt idx="45">
                  <c:v>188.07299300303626</c:v>
                </c:pt>
                <c:pt idx="46">
                  <c:v>192.05351415563555</c:v>
                </c:pt>
                <c:pt idx="47">
                  <c:v>196.02825934122134</c:v>
                </c:pt>
                <c:pt idx="48">
                  <c:v>199.99710381579385</c:v>
                </c:pt>
                <c:pt idx="49">
                  <c:v>203.95992208577286</c:v>
                </c:pt>
                <c:pt idx="50">
                  <c:v>207.91658786300988</c:v>
                </c:pt>
                <c:pt idx="51">
                  <c:v>211.86697401859493</c:v>
                </c:pt>
                <c:pt idx="52">
                  <c:v>215.81095253519555</c:v>
                </c:pt>
                <c:pt idx="53">
                  <c:v>219.74839445767475</c:v>
                </c:pt>
                <c:pt idx="54">
                  <c:v>223.67916984173274</c:v>
                </c:pt>
                <c:pt idx="55">
                  <c:v>227.60314770031488</c:v>
                </c:pt>
                <c:pt idx="56">
                  <c:v>231.5201959475234</c:v>
                </c:pt>
                <c:pt idx="57">
                  <c:v>235.43018133976207</c:v>
                </c:pt>
                <c:pt idx="58">
                  <c:v>239.33296941382795</c:v>
                </c:pt>
                <c:pt idx="59">
                  <c:v>243.22842442165563</c:v>
                </c:pt>
                <c:pt idx="60">
                  <c:v>247.11640926139449</c:v>
                </c:pt>
                <c:pt idx="61">
                  <c:v>250.99678540448531</c:v>
                </c:pt>
                <c:pt idx="62">
                  <c:v>254.86941281837599</c:v>
                </c:pt>
                <c:pt idx="63">
                  <c:v>258.73414988448684</c:v>
                </c:pt>
                <c:pt idx="64">
                  <c:v>262.59085331101079</c:v>
                </c:pt>
                <c:pt idx="65">
                  <c:v>266.43937804009278</c:v>
                </c:pt>
                <c:pt idx="66">
                  <c:v>269.9689670636775</c:v>
                </c:pt>
                <c:pt idx="67">
                  <c:v>269.98534333462402</c:v>
                </c:pt>
                <c:pt idx="68">
                  <c:v>269.8328459099593</c:v>
                </c:pt>
                <c:pt idx="69">
                  <c:v>269.85399914801559</c:v>
                </c:pt>
                <c:pt idx="70">
                  <c:v>269.73130063065742</c:v>
                </c:pt>
                <c:pt idx="71">
                  <c:v>269.82383349740235</c:v>
                </c:pt>
                <c:pt idx="72">
                  <c:v>269.79597661727053</c:v>
                </c:pt>
                <c:pt idx="73">
                  <c:v>269.65147965783825</c:v>
                </c:pt>
                <c:pt idx="74">
                  <c:v>269.77129622332438</c:v>
                </c:pt>
                <c:pt idx="75">
                  <c:v>269.79610329791819</c:v>
                </c:pt>
                <c:pt idx="76">
                  <c:v>269.72976291205322</c:v>
                </c:pt>
                <c:pt idx="77">
                  <c:v>269.97114554802391</c:v>
                </c:pt>
                <c:pt idx="78">
                  <c:v>269.74059180324008</c:v>
                </c:pt>
                <c:pt idx="79">
                  <c:v>269.8367339505707</c:v>
                </c:pt>
                <c:pt idx="80">
                  <c:v>269.86867558661748</c:v>
                </c:pt>
                <c:pt idx="81">
                  <c:v>269.84269991787784</c:v>
                </c:pt>
                <c:pt idx="82">
                  <c:v>269.77102097931936</c:v>
                </c:pt>
                <c:pt idx="83">
                  <c:v>269.66062481855198</c:v>
                </c:pt>
                <c:pt idx="84">
                  <c:v>269.93834614783174</c:v>
                </c:pt>
                <c:pt idx="85">
                  <c:v>269.77264279279831</c:v>
                </c:pt>
                <c:pt idx="86">
                  <c:v>269.58939260709076</c:v>
                </c:pt>
                <c:pt idx="87">
                  <c:v>269.81797958903962</c:v>
                </c:pt>
                <c:pt idx="88">
                  <c:v>269.62304662574701</c:v>
                </c:pt>
                <c:pt idx="89">
                  <c:v>269.85404909379258</c:v>
                </c:pt>
                <c:pt idx="90">
                  <c:v>269.67932635129932</c:v>
                </c:pt>
              </c:numCache>
            </c:numRef>
          </c:yVal>
          <c:smooth val="0"/>
          <c:extLst>
            <c:ext xmlns:c16="http://schemas.microsoft.com/office/drawing/2014/chart" uri="{C3380CC4-5D6E-409C-BE32-E72D297353CC}">
              <c16:uniqueId val="{00000002-A0AF-4349-941F-DEAD347AE82F}"/>
            </c:ext>
          </c:extLst>
        </c:ser>
        <c:ser>
          <c:idx val="1"/>
          <c:order val="3"/>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TSData1!$AZ$5:$AZ$95</c:f>
              <c:numCache>
                <c:formatCode>General</c:formatCode>
                <c:ptCount val="91"/>
                <c:pt idx="0">
                  <c:v>0</c:v>
                </c:pt>
                <c:pt idx="1">
                  <c:v>3.6427654310666715</c:v>
                </c:pt>
                <c:pt idx="2">
                  <c:v>7.285530862133343</c:v>
                </c:pt>
                <c:pt idx="3">
                  <c:v>10.928296293200015</c:v>
                </c:pt>
                <c:pt idx="4">
                  <c:v>14.571061724266686</c:v>
                </c:pt>
                <c:pt idx="5">
                  <c:v>18.213827155333355</c:v>
                </c:pt>
                <c:pt idx="6">
                  <c:v>21.85659258640003</c:v>
                </c:pt>
                <c:pt idx="7">
                  <c:v>25.499358017466701</c:v>
                </c:pt>
                <c:pt idx="8">
                  <c:v>29.142123448533372</c:v>
                </c:pt>
                <c:pt idx="9">
                  <c:v>32.78488887960004</c:v>
                </c:pt>
                <c:pt idx="10">
                  <c:v>36.427654310666711</c:v>
                </c:pt>
                <c:pt idx="11">
                  <c:v>40.070419741733389</c:v>
                </c:pt>
                <c:pt idx="12">
                  <c:v>43.71318517280006</c:v>
                </c:pt>
                <c:pt idx="13">
                  <c:v>47.355950603866731</c:v>
                </c:pt>
                <c:pt idx="14">
                  <c:v>50.998716034933402</c:v>
                </c:pt>
                <c:pt idx="15">
                  <c:v>54.641481466000073</c:v>
                </c:pt>
                <c:pt idx="16">
                  <c:v>58.284246897066744</c:v>
                </c:pt>
                <c:pt idx="17">
                  <c:v>61.927012328133415</c:v>
                </c:pt>
                <c:pt idx="18">
                  <c:v>65.569777759200079</c:v>
                </c:pt>
                <c:pt idx="19">
                  <c:v>69.212543190266757</c:v>
                </c:pt>
                <c:pt idx="20">
                  <c:v>72.855308621333421</c:v>
                </c:pt>
                <c:pt idx="21">
                  <c:v>76.498074052400113</c:v>
                </c:pt>
                <c:pt idx="22">
                  <c:v>80.140839483466777</c:v>
                </c:pt>
                <c:pt idx="23">
                  <c:v>83.783604914533441</c:v>
                </c:pt>
                <c:pt idx="24">
                  <c:v>87.42637034560012</c:v>
                </c:pt>
                <c:pt idx="25">
                  <c:v>91.069135776666783</c:v>
                </c:pt>
                <c:pt idx="26">
                  <c:v>94.711901207733462</c:v>
                </c:pt>
                <c:pt idx="27">
                  <c:v>98.354666638800126</c:v>
                </c:pt>
                <c:pt idx="28">
                  <c:v>101.9974320698668</c:v>
                </c:pt>
                <c:pt idx="29">
                  <c:v>105.64019750093347</c:v>
                </c:pt>
                <c:pt idx="30">
                  <c:v>109.28296293200015</c:v>
                </c:pt>
                <c:pt idx="31">
                  <c:v>112.92572836306681</c:v>
                </c:pt>
                <c:pt idx="32">
                  <c:v>116.56849379413349</c:v>
                </c:pt>
                <c:pt idx="33">
                  <c:v>120.21125922520017</c:v>
                </c:pt>
                <c:pt idx="34">
                  <c:v>123.85402465626683</c:v>
                </c:pt>
                <c:pt idx="35">
                  <c:v>127.49679008733351</c:v>
                </c:pt>
                <c:pt idx="36">
                  <c:v>131.13955551840016</c:v>
                </c:pt>
                <c:pt idx="37">
                  <c:v>134.78232094946685</c:v>
                </c:pt>
                <c:pt idx="38">
                  <c:v>138.42508638053351</c:v>
                </c:pt>
                <c:pt idx="39">
                  <c:v>142.06785181160021</c:v>
                </c:pt>
                <c:pt idx="40">
                  <c:v>145.71061724266684</c:v>
                </c:pt>
                <c:pt idx="41">
                  <c:v>149.35338267373353</c:v>
                </c:pt>
                <c:pt idx="42">
                  <c:v>152.99614810480023</c:v>
                </c:pt>
                <c:pt idx="43">
                  <c:v>156.63891353586686</c:v>
                </c:pt>
                <c:pt idx="44">
                  <c:v>160.28167896693355</c:v>
                </c:pt>
                <c:pt idx="45">
                  <c:v>163.92444439800022</c:v>
                </c:pt>
                <c:pt idx="46">
                  <c:v>167.56720982906688</c:v>
                </c:pt>
                <c:pt idx="47">
                  <c:v>171.20997526013355</c:v>
                </c:pt>
                <c:pt idx="48">
                  <c:v>174.85274069120024</c:v>
                </c:pt>
                <c:pt idx="49">
                  <c:v>178.4955061222669</c:v>
                </c:pt>
                <c:pt idx="50">
                  <c:v>182.13827155333357</c:v>
                </c:pt>
                <c:pt idx="51">
                  <c:v>185.78103698440026</c:v>
                </c:pt>
                <c:pt idx="52">
                  <c:v>189.42380241546692</c:v>
                </c:pt>
                <c:pt idx="53">
                  <c:v>193.06656784653359</c:v>
                </c:pt>
                <c:pt idx="54">
                  <c:v>196.70933327760025</c:v>
                </c:pt>
                <c:pt idx="55">
                  <c:v>200.35209870866694</c:v>
                </c:pt>
                <c:pt idx="56">
                  <c:v>203.99486413973361</c:v>
                </c:pt>
                <c:pt idx="57">
                  <c:v>207.6376295708003</c:v>
                </c:pt>
                <c:pt idx="58">
                  <c:v>211.28039500186694</c:v>
                </c:pt>
                <c:pt idx="59">
                  <c:v>214.92316043293363</c:v>
                </c:pt>
                <c:pt idx="60">
                  <c:v>218.56592586400029</c:v>
                </c:pt>
                <c:pt idx="61">
                  <c:v>222.20869129506698</c:v>
                </c:pt>
                <c:pt idx="62">
                  <c:v>225.85145672613362</c:v>
                </c:pt>
                <c:pt idx="63">
                  <c:v>229.49422215720031</c:v>
                </c:pt>
                <c:pt idx="64">
                  <c:v>233.13698758826698</c:v>
                </c:pt>
                <c:pt idx="65">
                  <c:v>236.77975301933367</c:v>
                </c:pt>
                <c:pt idx="66">
                  <c:v>240.42251845040033</c:v>
                </c:pt>
                <c:pt idx="67">
                  <c:v>244.06528388146697</c:v>
                </c:pt>
                <c:pt idx="68">
                  <c:v>247.70804931253366</c:v>
                </c:pt>
                <c:pt idx="69">
                  <c:v>251.35081474360035</c:v>
                </c:pt>
                <c:pt idx="70">
                  <c:v>254.99358017466702</c:v>
                </c:pt>
                <c:pt idx="71">
                  <c:v>258.63634560573365</c:v>
                </c:pt>
                <c:pt idx="72">
                  <c:v>262.27911103680032</c:v>
                </c:pt>
                <c:pt idx="73">
                  <c:v>265.92187646786704</c:v>
                </c:pt>
                <c:pt idx="74">
                  <c:v>269.5646418989337</c:v>
                </c:pt>
                <c:pt idx="75">
                  <c:v>273.20740733000036</c:v>
                </c:pt>
                <c:pt idx="76">
                  <c:v>276.85017276106703</c:v>
                </c:pt>
                <c:pt idx="77">
                  <c:v>280.49293819213369</c:v>
                </c:pt>
                <c:pt idx="78">
                  <c:v>284.13570362320041</c:v>
                </c:pt>
                <c:pt idx="79">
                  <c:v>287.77846905426708</c:v>
                </c:pt>
                <c:pt idx="80">
                  <c:v>291.42123448533368</c:v>
                </c:pt>
                <c:pt idx="81">
                  <c:v>295.06399991640041</c:v>
                </c:pt>
                <c:pt idx="82">
                  <c:v>298.70676534746707</c:v>
                </c:pt>
                <c:pt idx="83">
                  <c:v>302.34953077853373</c:v>
                </c:pt>
                <c:pt idx="84">
                  <c:v>305.99229620960045</c:v>
                </c:pt>
                <c:pt idx="85">
                  <c:v>309.63506164066706</c:v>
                </c:pt>
                <c:pt idx="86">
                  <c:v>313.27782707173373</c:v>
                </c:pt>
                <c:pt idx="87">
                  <c:v>316.92059250280045</c:v>
                </c:pt>
                <c:pt idx="88">
                  <c:v>320.56335793386711</c:v>
                </c:pt>
                <c:pt idx="89">
                  <c:v>324.20612336493377</c:v>
                </c:pt>
                <c:pt idx="90">
                  <c:v>327.84888879600044</c:v>
                </c:pt>
              </c:numCache>
            </c:numRef>
          </c:yVal>
          <c:smooth val="0"/>
          <c:extLst>
            <c:ext xmlns:c16="http://schemas.microsoft.com/office/drawing/2014/chart" uri="{C3380CC4-5D6E-409C-BE32-E72D297353CC}">
              <c16:uniqueId val="{00000003-A0AF-4349-941F-DEAD347AE82F}"/>
            </c:ext>
          </c:extLst>
        </c:ser>
        <c:ser>
          <c:idx val="4"/>
          <c:order val="4"/>
          <c:spPr>
            <a:ln>
              <a:solidFill>
                <a:schemeClr val="accent6">
                  <a:lumMod val="75000"/>
                </a:schemeClr>
              </a:solidFill>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TSData1!$BA$5:$BA$95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mooth val="0"/>
          <c:extLst>
            <c:ext xmlns:c16="http://schemas.microsoft.com/office/drawing/2014/chart" uri="{C3380CC4-5D6E-409C-BE32-E72D297353CC}">
              <c16:uniqueId val="{00000004-A0AF-4349-941F-DEAD347AE82F}"/>
            </c:ext>
          </c:extLst>
        </c:ser>
        <c:ser>
          <c:idx val="5"/>
          <c:order val="5"/>
          <c:spPr>
            <a:ln>
              <a:solidFill>
                <a:schemeClr val="accent6">
                  <a:lumMod val="75000"/>
                </a:schemeClr>
              </a:solidFill>
              <a:prstDash val="dash"/>
            </a:ln>
          </c:spPr>
          <c:marker>
            <c:symbol val="none"/>
          </c:marker>
          <c:xVal>
            <c:numRef>
              <c:f>TSData1!$H$5:$H$95</c:f>
              <c:numCache>
                <c:formatCode>General</c:formatCode>
                <c:ptCount val="91"/>
                <c:pt idx="0">
                  <c:v>0</c:v>
                </c:pt>
                <c:pt idx="1">
                  <c:v>175.8241758241758</c:v>
                </c:pt>
                <c:pt idx="2">
                  <c:v>351.64835164835159</c:v>
                </c:pt>
                <c:pt idx="3">
                  <c:v>527.47252747252742</c:v>
                </c:pt>
                <c:pt idx="4">
                  <c:v>703.29670329670319</c:v>
                </c:pt>
                <c:pt idx="5">
                  <c:v>879.12087912087884</c:v>
                </c:pt>
                <c:pt idx="6">
                  <c:v>1054.9450549450548</c:v>
                </c:pt>
                <c:pt idx="7">
                  <c:v>1230.7692307692305</c:v>
                </c:pt>
                <c:pt idx="8">
                  <c:v>1406.5934065934064</c:v>
                </c:pt>
                <c:pt idx="9">
                  <c:v>1582.4175824175823</c:v>
                </c:pt>
                <c:pt idx="10">
                  <c:v>1758.2417582417577</c:v>
                </c:pt>
                <c:pt idx="11">
                  <c:v>1934.0659340659338</c:v>
                </c:pt>
                <c:pt idx="12">
                  <c:v>2109.8901098901097</c:v>
                </c:pt>
                <c:pt idx="13">
                  <c:v>2285.7142857142853</c:v>
                </c:pt>
                <c:pt idx="14">
                  <c:v>2461.538461538461</c:v>
                </c:pt>
                <c:pt idx="15">
                  <c:v>2637.3626373626371</c:v>
                </c:pt>
                <c:pt idx="16">
                  <c:v>2813.1868131868127</c:v>
                </c:pt>
                <c:pt idx="17">
                  <c:v>2989.0109890109884</c:v>
                </c:pt>
                <c:pt idx="18">
                  <c:v>3164.8351648351645</c:v>
                </c:pt>
                <c:pt idx="19">
                  <c:v>3340.6593406593402</c:v>
                </c:pt>
                <c:pt idx="20">
                  <c:v>3516.4835164835154</c:v>
                </c:pt>
                <c:pt idx="21">
                  <c:v>3692.3076923076915</c:v>
                </c:pt>
                <c:pt idx="22">
                  <c:v>3868.1318681318676</c:v>
                </c:pt>
                <c:pt idx="23">
                  <c:v>4043.9560439560432</c:v>
                </c:pt>
                <c:pt idx="24">
                  <c:v>4219.7802197802193</c:v>
                </c:pt>
                <c:pt idx="25">
                  <c:v>4395.604395604395</c:v>
                </c:pt>
                <c:pt idx="26">
                  <c:v>4571.4285714285706</c:v>
                </c:pt>
                <c:pt idx="27">
                  <c:v>4747.2527472527463</c:v>
                </c:pt>
                <c:pt idx="28">
                  <c:v>4923.076923076922</c:v>
                </c:pt>
                <c:pt idx="29">
                  <c:v>5098.9010989010976</c:v>
                </c:pt>
                <c:pt idx="30">
                  <c:v>5274.7252747252742</c:v>
                </c:pt>
                <c:pt idx="31">
                  <c:v>5450.5494505494489</c:v>
                </c:pt>
                <c:pt idx="32">
                  <c:v>5626.3736263736255</c:v>
                </c:pt>
                <c:pt idx="33">
                  <c:v>5802.1978021978011</c:v>
                </c:pt>
                <c:pt idx="34">
                  <c:v>5978.0219780219768</c:v>
                </c:pt>
                <c:pt idx="35">
                  <c:v>6153.8461538461534</c:v>
                </c:pt>
                <c:pt idx="36">
                  <c:v>6329.670329670329</c:v>
                </c:pt>
                <c:pt idx="37">
                  <c:v>6505.4945054945047</c:v>
                </c:pt>
                <c:pt idx="38">
                  <c:v>6681.3186813186803</c:v>
                </c:pt>
                <c:pt idx="39">
                  <c:v>6857.142857142856</c:v>
                </c:pt>
                <c:pt idx="40">
                  <c:v>7032.9670329670307</c:v>
                </c:pt>
                <c:pt idx="41">
                  <c:v>7208.7912087912082</c:v>
                </c:pt>
                <c:pt idx="42">
                  <c:v>7384.6153846153829</c:v>
                </c:pt>
                <c:pt idx="43">
                  <c:v>7560.4395604395586</c:v>
                </c:pt>
                <c:pt idx="44">
                  <c:v>7736.2637362637352</c:v>
                </c:pt>
                <c:pt idx="45">
                  <c:v>7912.0879120879099</c:v>
                </c:pt>
                <c:pt idx="46">
                  <c:v>8087.9120879120865</c:v>
                </c:pt>
                <c:pt idx="47">
                  <c:v>8263.7362637362621</c:v>
                </c:pt>
                <c:pt idx="48">
                  <c:v>8439.5604395604387</c:v>
                </c:pt>
                <c:pt idx="49">
                  <c:v>8615.3846153846152</c:v>
                </c:pt>
                <c:pt idx="50">
                  <c:v>8791.20879120879</c:v>
                </c:pt>
                <c:pt idx="51">
                  <c:v>8967.0329670329647</c:v>
                </c:pt>
                <c:pt idx="52">
                  <c:v>9142.8571428571413</c:v>
                </c:pt>
                <c:pt idx="53">
                  <c:v>9318.6813186813179</c:v>
                </c:pt>
                <c:pt idx="54">
                  <c:v>9494.5054945054926</c:v>
                </c:pt>
                <c:pt idx="55">
                  <c:v>9670.3296703296692</c:v>
                </c:pt>
                <c:pt idx="56">
                  <c:v>9846.1538461538439</c:v>
                </c:pt>
                <c:pt idx="57">
                  <c:v>10021.97802197802</c:v>
                </c:pt>
                <c:pt idx="58">
                  <c:v>10197.802197802195</c:v>
                </c:pt>
                <c:pt idx="59">
                  <c:v>10373.626373626372</c:v>
                </c:pt>
                <c:pt idx="60">
                  <c:v>10549.450549450548</c:v>
                </c:pt>
                <c:pt idx="61">
                  <c:v>10725.274725274723</c:v>
                </c:pt>
                <c:pt idx="62">
                  <c:v>10901.098901098898</c:v>
                </c:pt>
                <c:pt idx="63">
                  <c:v>11076.923076923074</c:v>
                </c:pt>
                <c:pt idx="64">
                  <c:v>11252.747252747251</c:v>
                </c:pt>
                <c:pt idx="65">
                  <c:v>11428.571428571428</c:v>
                </c:pt>
                <c:pt idx="66">
                  <c:v>11604.395604395602</c:v>
                </c:pt>
                <c:pt idx="67">
                  <c:v>11780.219780219777</c:v>
                </c:pt>
                <c:pt idx="68">
                  <c:v>11956.043956043954</c:v>
                </c:pt>
                <c:pt idx="69">
                  <c:v>12131.86813186813</c:v>
                </c:pt>
                <c:pt idx="70">
                  <c:v>12307.692307692307</c:v>
                </c:pt>
                <c:pt idx="71">
                  <c:v>12483.516483516481</c:v>
                </c:pt>
                <c:pt idx="72">
                  <c:v>12659.340659340658</c:v>
                </c:pt>
                <c:pt idx="73">
                  <c:v>12835.164835164833</c:v>
                </c:pt>
                <c:pt idx="74">
                  <c:v>13010.989010989009</c:v>
                </c:pt>
                <c:pt idx="75">
                  <c:v>13186.813186813186</c:v>
                </c:pt>
                <c:pt idx="76">
                  <c:v>13362.637362637361</c:v>
                </c:pt>
                <c:pt idx="77">
                  <c:v>13538.461538461537</c:v>
                </c:pt>
                <c:pt idx="78">
                  <c:v>13714.285714285712</c:v>
                </c:pt>
                <c:pt idx="79">
                  <c:v>13890.109890109889</c:v>
                </c:pt>
                <c:pt idx="80">
                  <c:v>14065.934065934061</c:v>
                </c:pt>
                <c:pt idx="81">
                  <c:v>14241.758241758238</c:v>
                </c:pt>
                <c:pt idx="82">
                  <c:v>14417.582417582416</c:v>
                </c:pt>
                <c:pt idx="83">
                  <c:v>14593.406593406593</c:v>
                </c:pt>
                <c:pt idx="84">
                  <c:v>14769.230769230766</c:v>
                </c:pt>
                <c:pt idx="85">
                  <c:v>14945.054945054941</c:v>
                </c:pt>
                <c:pt idx="86">
                  <c:v>15120.879120879117</c:v>
                </c:pt>
                <c:pt idx="87">
                  <c:v>15296.703296703294</c:v>
                </c:pt>
                <c:pt idx="88">
                  <c:v>15472.52747252747</c:v>
                </c:pt>
                <c:pt idx="89">
                  <c:v>15648.351648351649</c:v>
                </c:pt>
                <c:pt idx="90">
                  <c:v>15824.17582417582</c:v>
                </c:pt>
              </c:numCache>
            </c:numRef>
          </c:xVal>
          <c:yVal>
            <c:numRef>
              <c:f>TSData1!$BB$5:$BB$95</c:f>
              <c:numCache>
                <c:formatCode>General</c:formatCode>
                <c:ptCount val="9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numCache>
            </c:numRef>
          </c:yVal>
          <c:smooth val="0"/>
          <c:extLst>
            <c:ext xmlns:c16="http://schemas.microsoft.com/office/drawing/2014/chart" uri="{C3380CC4-5D6E-409C-BE32-E72D297353CC}">
              <c16:uniqueId val="{00000005-A0AF-4349-941F-DEAD347AE82F}"/>
            </c:ext>
          </c:extLst>
        </c:ser>
        <c:dLbls>
          <c:showLegendKey val="0"/>
          <c:showVal val="0"/>
          <c:showCatName val="0"/>
          <c:showSerName val="0"/>
          <c:showPercent val="0"/>
          <c:showBubbleSize val="0"/>
        </c:dLbls>
        <c:axId val="221864720"/>
        <c:axId val="221865112"/>
      </c:scatterChart>
      <c:valAx>
        <c:axId val="221864720"/>
        <c:scaling>
          <c:orientation val="minMax"/>
        </c:scaling>
        <c:delete val="0"/>
        <c:axPos val="b"/>
        <c:majorGridlines>
          <c:spPr>
            <a:ln w="3175">
              <a:solidFill>
                <a:srgbClr val="000000"/>
              </a:solidFill>
              <a:prstDash val="solid"/>
            </a:ln>
          </c:spPr>
        </c:majorGridlines>
        <c:title>
          <c:tx>
            <c:strRef>
              <c:f>TSData1!$X$4</c:f>
              <c:strCache>
                <c:ptCount val="1"/>
                <c:pt idx="0">
                  <c:v>Speed RPM</c:v>
                </c:pt>
              </c:strCache>
            </c:strRef>
          </c:tx>
          <c:layout>
            <c:manualLayout>
              <c:xMode val="edge"/>
              <c:yMode val="edge"/>
              <c:x val="0.44666806649168855"/>
              <c:y val="0.92814559856664625"/>
            </c:manualLayout>
          </c:layout>
          <c:overlay val="0"/>
          <c:spPr>
            <a:noFill/>
            <a:ln w="25400">
              <a:noFill/>
            </a:ln>
          </c:spPr>
          <c:txPr>
            <a:bodyPr/>
            <a:lstStyle/>
            <a:p>
              <a:pPr>
                <a:defRPr sz="800" b="1" i="0" u="none" strike="noStrike" baseline="0">
                  <a:solidFill>
                    <a:srgbClr val="000000"/>
                  </a:solidFill>
                  <a:latin typeface="Arial"/>
                  <a:ea typeface="Arial"/>
                  <a:cs typeface="Arial"/>
                </a:defRPr>
              </a:pPr>
              <a:endParaRPr lang="en-US"/>
            </a:p>
          </c:tx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1865112"/>
        <c:crosses val="autoZero"/>
        <c:crossBetween val="midCat"/>
      </c:valAx>
      <c:valAx>
        <c:axId val="22186511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Volts</a:t>
                </a:r>
              </a:p>
            </c:rich>
          </c:tx>
          <c:layout>
            <c:manualLayout>
              <c:xMode val="edge"/>
              <c:yMode val="edge"/>
              <c:x val="5.3333333333333621E-2"/>
              <c:y val="0.447106626641729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221864720"/>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444" r="0.75000000000000444"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Efficiency</a:t>
            </a:r>
            <a:r>
              <a:rPr lang="en-US" baseline="0"/>
              <a:t> Plot</a:t>
            </a:r>
            <a:endParaRPr lang="en-US"/>
          </a:p>
        </c:rich>
      </c:tx>
      <c:layout>
        <c:manualLayout>
          <c:xMode val="edge"/>
          <c:yMode val="edge"/>
          <c:x val="0.32979528991345625"/>
          <c:y val="2.1164016755402078E-2"/>
        </c:manualLayout>
      </c:layout>
      <c:overlay val="0"/>
    </c:title>
    <c:autoTitleDeleted val="0"/>
    <c:view3D>
      <c:rotX val="90"/>
      <c:rotY val="0"/>
      <c:rAngAx val="0"/>
      <c:perspective val="0"/>
    </c:view3D>
    <c:floor>
      <c:thickness val="0"/>
    </c:floor>
    <c:sideWall>
      <c:thickness val="0"/>
    </c:sideWall>
    <c:backWall>
      <c:thickness val="0"/>
    </c:backWall>
    <c:plotArea>
      <c:layout>
        <c:manualLayout>
          <c:layoutTarget val="inner"/>
          <c:xMode val="edge"/>
          <c:yMode val="edge"/>
          <c:x val="2.150537634408603E-2"/>
          <c:y val="0.21443898378557344"/>
          <c:w val="0.76673153448871756"/>
          <c:h val="0.55517527909526332"/>
        </c:manualLayout>
      </c:layout>
      <c:surfaceChart>
        <c:wireframe val="0"/>
        <c:ser>
          <c:idx val="0"/>
          <c:order val="0"/>
          <c:tx>
            <c:strRef>
              <c:f>EffMap1!$S$2</c:f>
              <c:strCache>
                <c:ptCount val="1"/>
                <c:pt idx="0">
                  <c:v>0.0</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EffMap1!$S$3:$S$62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0-3765-4E9E-8296-98D567B10394}"/>
            </c:ext>
          </c:extLst>
        </c:ser>
        <c:ser>
          <c:idx val="1"/>
          <c:order val="1"/>
          <c:tx>
            <c:strRef>
              <c:f>EffMap1!$T$2</c:f>
              <c:strCache>
                <c:ptCount val="1"/>
                <c:pt idx="0">
                  <c:v>0.5</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EffMap1!$T$3:$T$62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1-3765-4E9E-8296-98D567B10394}"/>
            </c:ext>
          </c:extLst>
        </c:ser>
        <c:ser>
          <c:idx val="2"/>
          <c:order val="2"/>
          <c:tx>
            <c:strRef>
              <c:f>EffMap1!$U$2</c:f>
              <c:strCache>
                <c:ptCount val="1"/>
                <c:pt idx="0">
                  <c:v>1.2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EffMap1!$U$3:$U$62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2-3765-4E9E-8296-98D567B10394}"/>
            </c:ext>
          </c:extLst>
        </c:ser>
        <c:ser>
          <c:idx val="3"/>
          <c:order val="3"/>
          <c:tx>
            <c:strRef>
              <c:f>EffMap1!$V$2</c:f>
              <c:strCache>
                <c:ptCount val="1"/>
                <c:pt idx="0">
                  <c:v>1.9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EffMap1!$V$3:$V$62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3-3765-4E9E-8296-98D567B10394}"/>
            </c:ext>
          </c:extLst>
        </c:ser>
        <c:ser>
          <c:idx val="4"/>
          <c:order val="4"/>
          <c:tx>
            <c:strRef>
              <c:f>EffMap1!$W$2</c:f>
              <c:strCache>
                <c:ptCount val="1"/>
                <c:pt idx="0">
                  <c:v>2.6</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EffMap1!$W$3:$W$62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4-3765-4E9E-8296-98D567B10394}"/>
            </c:ext>
          </c:extLst>
        </c:ser>
        <c:ser>
          <c:idx val="5"/>
          <c:order val="5"/>
          <c:tx>
            <c:strRef>
              <c:f>EffMap1!$X$2</c:f>
              <c:strCache>
                <c:ptCount val="1"/>
                <c:pt idx="0">
                  <c:v>3.2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EffMap1!$X$3:$X$62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5-3765-4E9E-8296-98D567B10394}"/>
            </c:ext>
          </c:extLst>
        </c:ser>
        <c:ser>
          <c:idx val="6"/>
          <c:order val="6"/>
          <c:tx>
            <c:strRef>
              <c:f>EffMap1!$Y$2</c:f>
              <c:strCache>
                <c:ptCount val="1"/>
                <c:pt idx="0">
                  <c:v>3.9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EffMap1!$Y$3:$Y$62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6-3765-4E9E-8296-98D567B10394}"/>
            </c:ext>
          </c:extLst>
        </c:ser>
        <c:ser>
          <c:idx val="7"/>
          <c:order val="7"/>
          <c:tx>
            <c:strRef>
              <c:f>EffMap1!$Z$2</c:f>
              <c:strCache>
                <c:ptCount val="1"/>
                <c:pt idx="0">
                  <c:v>4.6</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EffMap1!$Z$3:$Z$62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7-3765-4E9E-8296-98D567B10394}"/>
            </c:ext>
          </c:extLst>
        </c:ser>
        <c:ser>
          <c:idx val="8"/>
          <c:order val="8"/>
          <c:tx>
            <c:strRef>
              <c:f>EffMap1!$AA$2</c:f>
              <c:strCache>
                <c:ptCount val="1"/>
                <c:pt idx="0">
                  <c:v>5.3</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EffMap1!$AA$3:$AA$62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8-3765-4E9E-8296-98D567B10394}"/>
            </c:ext>
          </c:extLst>
        </c:ser>
        <c:ser>
          <c:idx val="9"/>
          <c:order val="9"/>
          <c:tx>
            <c:strRef>
              <c:f>EffMap1!$AB$2</c:f>
              <c:strCache>
                <c:ptCount val="1"/>
                <c:pt idx="0">
                  <c:v>5.9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EffMap1!$AB$3:$AB$62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9-3765-4E9E-8296-98D567B10394}"/>
            </c:ext>
          </c:extLst>
        </c:ser>
        <c:ser>
          <c:idx val="10"/>
          <c:order val="10"/>
          <c:tx>
            <c:strRef>
              <c:f>EffMap1!$AC$2</c:f>
              <c:strCache>
                <c:ptCount val="1"/>
                <c:pt idx="0">
                  <c:v>6.6</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EffMap1!$AC$3:$AC$62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A-3765-4E9E-8296-98D567B10394}"/>
            </c:ext>
          </c:extLst>
        </c:ser>
        <c:ser>
          <c:idx val="11"/>
          <c:order val="11"/>
          <c:tx>
            <c:strRef>
              <c:f>EffMap1!$AD$2</c:f>
              <c:strCache>
                <c:ptCount val="1"/>
                <c:pt idx="0">
                  <c:v>7.2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EffMap1!$AD$3:$AD$62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B-3765-4E9E-8296-98D567B10394}"/>
            </c:ext>
          </c:extLst>
        </c:ser>
        <c:ser>
          <c:idx val="12"/>
          <c:order val="12"/>
          <c:tx>
            <c:strRef>
              <c:f>EffMap1!$AE$2</c:f>
              <c:strCache>
                <c:ptCount val="1"/>
                <c:pt idx="0">
                  <c:v>7.9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EffMap1!$AE$3:$AE$62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C-3765-4E9E-8296-98D567B10394}"/>
            </c:ext>
          </c:extLst>
        </c:ser>
        <c:ser>
          <c:idx val="13"/>
          <c:order val="13"/>
          <c:tx>
            <c:strRef>
              <c:f>EffMap1!$AF$2</c:f>
              <c:strCache>
                <c:ptCount val="1"/>
                <c:pt idx="0">
                  <c:v>8.5</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EffMap1!$AF$3:$AF$62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D-3765-4E9E-8296-98D567B10394}"/>
            </c:ext>
          </c:extLst>
        </c:ser>
        <c:ser>
          <c:idx val="14"/>
          <c:order val="14"/>
          <c:tx>
            <c:strRef>
              <c:f>EffMap1!$AG$2</c:f>
              <c:strCache>
                <c:ptCount val="1"/>
                <c:pt idx="0">
                  <c:v>9.1</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EffMap1!$AG$3:$AG$62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E-3765-4E9E-8296-98D567B10394}"/>
            </c:ext>
          </c:extLst>
        </c:ser>
        <c:ser>
          <c:idx val="15"/>
          <c:order val="15"/>
          <c:tx>
            <c:strRef>
              <c:f>EffMap1!$AH$2</c:f>
              <c:strCache>
                <c:ptCount val="1"/>
                <c:pt idx="0">
                  <c:v>9.7</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EffMap1!$AH$3:$AH$62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0F-3765-4E9E-8296-98D567B10394}"/>
            </c:ext>
          </c:extLst>
        </c:ser>
        <c:ser>
          <c:idx val="16"/>
          <c:order val="16"/>
          <c:tx>
            <c:strRef>
              <c:f>EffMap1!$AI$2</c:f>
              <c:strCache>
                <c:ptCount val="1"/>
                <c:pt idx="0">
                  <c:v>10.3</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EffMap1!$AI$3:$AI$62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0-3765-4E9E-8296-98D567B10394}"/>
            </c:ext>
          </c:extLst>
        </c:ser>
        <c:ser>
          <c:idx val="17"/>
          <c:order val="17"/>
          <c:tx>
            <c:strRef>
              <c:f>EffMap1!$AJ$2</c:f>
              <c:strCache>
                <c:ptCount val="1"/>
                <c:pt idx="0">
                  <c:v>10.9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EffMap1!$AJ$3:$AJ$62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1-3765-4E9E-8296-98D567B10394}"/>
            </c:ext>
          </c:extLst>
        </c:ser>
        <c:ser>
          <c:idx val="18"/>
          <c:order val="18"/>
          <c:tx>
            <c:strRef>
              <c:f>EffMap1!$AK$2</c:f>
              <c:strCache>
                <c:ptCount val="1"/>
                <c:pt idx="0">
                  <c:v>11.5</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EffMap1!$AK$3:$AK$62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2-3765-4E9E-8296-98D567B10394}"/>
            </c:ext>
          </c:extLst>
        </c:ser>
        <c:ser>
          <c:idx val="19"/>
          <c:order val="19"/>
          <c:tx>
            <c:strRef>
              <c:f>EffMap1!$AL$2</c:f>
              <c:strCache>
                <c:ptCount val="1"/>
                <c:pt idx="0">
                  <c:v>12.1</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EffMap1!$AL$3:$AL$62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3-3765-4E9E-8296-98D567B10394}"/>
            </c:ext>
          </c:extLst>
        </c:ser>
        <c:ser>
          <c:idx val="20"/>
          <c:order val="20"/>
          <c:tx>
            <c:strRef>
              <c:f>EffMap1!$AM$2</c:f>
              <c:strCache>
                <c:ptCount val="1"/>
                <c:pt idx="0">
                  <c:v>12.7</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EffMap1!$AM$3:$AM$62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4-3765-4E9E-8296-98D567B10394}"/>
            </c:ext>
          </c:extLst>
        </c:ser>
        <c:ser>
          <c:idx val="21"/>
          <c:order val="21"/>
          <c:tx>
            <c:strRef>
              <c:f>EffMap1!$AN$2</c:f>
              <c:strCache>
                <c:ptCount val="1"/>
                <c:pt idx="0">
                  <c:v>13.2</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EffMap1!$AN$3:$AN$62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5-3765-4E9E-8296-98D567B10394}"/>
            </c:ext>
          </c:extLst>
        </c:ser>
        <c:ser>
          <c:idx val="22"/>
          <c:order val="22"/>
          <c:tx>
            <c:strRef>
              <c:f>EffMap1!$AO$2</c:f>
              <c:strCache>
                <c:ptCount val="1"/>
                <c:pt idx="0">
                  <c:v>13.8</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EffMap1!$AO$3:$AO$62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6-3765-4E9E-8296-98D567B10394}"/>
            </c:ext>
          </c:extLst>
        </c:ser>
        <c:ser>
          <c:idx val="23"/>
          <c:order val="23"/>
          <c:tx>
            <c:strRef>
              <c:f>EffMap1!$AP$2</c:f>
              <c:strCache>
                <c:ptCount val="1"/>
                <c:pt idx="0">
                  <c:v>14.3</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EffMap1!$AP$3:$AP$62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7-3765-4E9E-8296-98D567B10394}"/>
            </c:ext>
          </c:extLst>
        </c:ser>
        <c:ser>
          <c:idx val="24"/>
          <c:order val="24"/>
          <c:tx>
            <c:strRef>
              <c:f>EffMap1!$AQ$2</c:f>
              <c:strCache>
                <c:ptCount val="1"/>
                <c:pt idx="0">
                  <c:v>14.8</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EffMap1!$AQ$3:$AQ$62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8-3765-4E9E-8296-98D567B10394}"/>
            </c:ext>
          </c:extLst>
        </c:ser>
        <c:ser>
          <c:idx val="25"/>
          <c:order val="25"/>
          <c:tx>
            <c:strRef>
              <c:f>EffMap1!$AR$2</c:f>
              <c:strCache>
                <c:ptCount val="1"/>
                <c:pt idx="0">
                  <c:v>15.4</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EffMap1!$AR$3:$AR$62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9-3765-4E9E-8296-98D567B10394}"/>
            </c:ext>
          </c:extLst>
        </c:ser>
        <c:ser>
          <c:idx val="26"/>
          <c:order val="26"/>
          <c:tx>
            <c:strRef>
              <c:f>EffMap1!$AS$2</c:f>
              <c:strCache>
                <c:ptCount val="1"/>
                <c:pt idx="0">
                  <c:v>15.9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EffMap1!$AS$3:$AS$62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A-3765-4E9E-8296-98D567B10394}"/>
            </c:ext>
          </c:extLst>
        </c:ser>
        <c:ser>
          <c:idx val="27"/>
          <c:order val="27"/>
          <c:tx>
            <c:strRef>
              <c:f>EffMap1!$AT$2</c:f>
              <c:strCache>
                <c:ptCount val="1"/>
                <c:pt idx="0">
                  <c:v>16.4</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EffMap1!$AT$3:$AT$62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B-3765-4E9E-8296-98D567B10394}"/>
            </c:ext>
          </c:extLst>
        </c:ser>
        <c:ser>
          <c:idx val="28"/>
          <c:order val="28"/>
          <c:tx>
            <c:strRef>
              <c:f>EffMap1!$AU$2</c:f>
              <c:strCache>
                <c:ptCount val="1"/>
                <c:pt idx="0">
                  <c:v>16.9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EffMap1!$AU$3:$AU$62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C-3765-4E9E-8296-98D567B10394}"/>
            </c:ext>
          </c:extLst>
        </c:ser>
        <c:ser>
          <c:idx val="29"/>
          <c:order val="29"/>
          <c:tx>
            <c:strRef>
              <c:f>EffMap1!$AV$2</c:f>
              <c:strCache>
                <c:ptCount val="1"/>
                <c:pt idx="0">
                  <c:v>17.4</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EffMap1!$AV$3:$AV$62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D-3765-4E9E-8296-98D567B10394}"/>
            </c:ext>
          </c:extLst>
        </c:ser>
        <c:ser>
          <c:idx val="30"/>
          <c:order val="30"/>
          <c:tx>
            <c:strRef>
              <c:f>EffMap1!$AW$2</c:f>
              <c:strCache>
                <c:ptCount val="1"/>
                <c:pt idx="0">
                  <c:v>17.9</c:v>
                </c:pt>
              </c:strCache>
            </c:strRef>
          </c:tx>
          <c:cat>
            <c:numRef>
              <c:f>EffMap1!$R$3:$R$62</c:f>
              <c:numCache>
                <c:formatCode>0</c:formatCode>
                <c:ptCount val="60"/>
                <c:pt idx="0">
                  <c:v>0</c:v>
                </c:pt>
                <c:pt idx="1">
                  <c:v>56.915823303265803</c:v>
                </c:pt>
                <c:pt idx="2">
                  <c:v>113.83164660653161</c:v>
                </c:pt>
                <c:pt idx="3">
                  <c:v>170.74746990979745</c:v>
                </c:pt>
                <c:pt idx="4">
                  <c:v>227.66329321306321</c:v>
                </c:pt>
                <c:pt idx="5">
                  <c:v>284.57911651632901</c:v>
                </c:pt>
                <c:pt idx="6">
                  <c:v>341.49493981959489</c:v>
                </c:pt>
                <c:pt idx="7">
                  <c:v>398.41076312286066</c:v>
                </c:pt>
                <c:pt idx="8">
                  <c:v>455.32658642612643</c:v>
                </c:pt>
                <c:pt idx="9">
                  <c:v>512.24240972939231</c:v>
                </c:pt>
                <c:pt idx="10">
                  <c:v>569.15823303265802</c:v>
                </c:pt>
                <c:pt idx="11">
                  <c:v>626.07405633592384</c:v>
                </c:pt>
                <c:pt idx="12">
                  <c:v>682.98987963918978</c:v>
                </c:pt>
                <c:pt idx="13">
                  <c:v>739.90570294245549</c:v>
                </c:pt>
                <c:pt idx="14">
                  <c:v>796.82152624572132</c:v>
                </c:pt>
                <c:pt idx="15">
                  <c:v>853.73734954898703</c:v>
                </c:pt>
                <c:pt idx="16">
                  <c:v>910.65317285225285</c:v>
                </c:pt>
                <c:pt idx="17">
                  <c:v>967.56899615551868</c:v>
                </c:pt>
                <c:pt idx="18">
                  <c:v>1024.4848194587846</c:v>
                </c:pt>
                <c:pt idx="19">
                  <c:v>1081.4006427620504</c:v>
                </c:pt>
                <c:pt idx="20">
                  <c:v>1138.316466065316</c:v>
                </c:pt>
                <c:pt idx="21">
                  <c:v>1195.2322893685819</c:v>
                </c:pt>
                <c:pt idx="22">
                  <c:v>1252.1481126718477</c:v>
                </c:pt>
                <c:pt idx="23">
                  <c:v>1309.0639359751137</c:v>
                </c:pt>
                <c:pt idx="24">
                  <c:v>1365.9797592783796</c:v>
                </c:pt>
                <c:pt idx="25">
                  <c:v>1422.8955825816452</c:v>
                </c:pt>
                <c:pt idx="26">
                  <c:v>1479.811405884911</c:v>
                </c:pt>
                <c:pt idx="27">
                  <c:v>1536.7272291881768</c:v>
                </c:pt>
                <c:pt idx="28">
                  <c:v>1593.6430524914426</c:v>
                </c:pt>
                <c:pt idx="29">
                  <c:v>1650.5588757947085</c:v>
                </c:pt>
                <c:pt idx="30">
                  <c:v>1707.4746990979741</c:v>
                </c:pt>
                <c:pt idx="31">
                  <c:v>1764.3905224012399</c:v>
                </c:pt>
                <c:pt idx="32">
                  <c:v>1821.3063457045057</c:v>
                </c:pt>
                <c:pt idx="33">
                  <c:v>1878.2221690077715</c:v>
                </c:pt>
                <c:pt idx="34">
                  <c:v>1935.1379923110374</c:v>
                </c:pt>
                <c:pt idx="35">
                  <c:v>1992.0538156143032</c:v>
                </c:pt>
                <c:pt idx="36">
                  <c:v>2048.9696389175692</c:v>
                </c:pt>
                <c:pt idx="37">
                  <c:v>2105.8854622208351</c:v>
                </c:pt>
                <c:pt idx="38">
                  <c:v>2162.8012855241009</c:v>
                </c:pt>
                <c:pt idx="39">
                  <c:v>2219.7171088273667</c:v>
                </c:pt>
                <c:pt idx="40">
                  <c:v>2276.6329321306321</c:v>
                </c:pt>
                <c:pt idx="41">
                  <c:v>2333.5487554338979</c:v>
                </c:pt>
                <c:pt idx="42">
                  <c:v>2390.4645787371637</c:v>
                </c:pt>
                <c:pt idx="43">
                  <c:v>2447.3804020404295</c:v>
                </c:pt>
                <c:pt idx="44">
                  <c:v>2504.2962253436954</c:v>
                </c:pt>
                <c:pt idx="45">
                  <c:v>2561.2120486469612</c:v>
                </c:pt>
                <c:pt idx="46">
                  <c:v>2618.1278719502275</c:v>
                </c:pt>
                <c:pt idx="47">
                  <c:v>2675.0436952534928</c:v>
                </c:pt>
                <c:pt idx="48">
                  <c:v>2731.9595185567591</c:v>
                </c:pt>
                <c:pt idx="49">
                  <c:v>2788.8753418600245</c:v>
                </c:pt>
                <c:pt idx="50">
                  <c:v>2845.7911651632903</c:v>
                </c:pt>
                <c:pt idx="51">
                  <c:v>2902.7069884665561</c:v>
                </c:pt>
                <c:pt idx="52">
                  <c:v>2959.622811769822</c:v>
                </c:pt>
                <c:pt idx="53">
                  <c:v>3016.5386350730882</c:v>
                </c:pt>
                <c:pt idx="54">
                  <c:v>3073.4544583763536</c:v>
                </c:pt>
                <c:pt idx="55">
                  <c:v>3130.370281679619</c:v>
                </c:pt>
                <c:pt idx="56">
                  <c:v>3187.2861049828853</c:v>
                </c:pt>
                <c:pt idx="57">
                  <c:v>3244.2019282861506</c:v>
                </c:pt>
                <c:pt idx="58">
                  <c:v>3301.1177515894169</c:v>
                </c:pt>
                <c:pt idx="59">
                  <c:v>3358.0335748926823</c:v>
                </c:pt>
              </c:numCache>
            </c:numRef>
          </c:cat>
          <c:val>
            <c:numRef>
              <c:f>EffMap1!$AW$3:$AW$62</c:f>
              <c:numCache>
                <c:formatCode>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val>
          <c:extLst>
            <c:ext xmlns:c16="http://schemas.microsoft.com/office/drawing/2014/chart" uri="{C3380CC4-5D6E-409C-BE32-E72D297353CC}">
              <c16:uniqueId val="{0000001E-3765-4E9E-8296-98D567B10394}"/>
            </c:ext>
          </c:extLst>
        </c:ser>
        <c:bandFmts/>
        <c:axId val="223736888"/>
        <c:axId val="223737280"/>
        <c:axId val="222475296"/>
      </c:surfaceChart>
      <c:catAx>
        <c:axId val="223736888"/>
        <c:scaling>
          <c:orientation val="minMax"/>
        </c:scaling>
        <c:delete val="0"/>
        <c:axPos val="b"/>
        <c:title>
          <c:tx>
            <c:rich>
              <a:bodyPr/>
              <a:lstStyle/>
              <a:p>
                <a:pPr>
                  <a:defRPr/>
                </a:pPr>
                <a:r>
                  <a:rPr lang="en-US"/>
                  <a:t>Speed</a:t>
                </a:r>
                <a:r>
                  <a:rPr lang="en-US" baseline="0"/>
                  <a:t> RPM</a:t>
                </a:r>
                <a:endParaRPr lang="en-US"/>
              </a:p>
            </c:rich>
          </c:tx>
          <c:overlay val="0"/>
        </c:title>
        <c:numFmt formatCode="0" sourceLinked="1"/>
        <c:majorTickMark val="none"/>
        <c:minorTickMark val="none"/>
        <c:tickLblPos val="nextTo"/>
        <c:spPr>
          <a:ln w="9525">
            <a:noFill/>
          </a:ln>
        </c:spPr>
        <c:crossAx val="223737280"/>
        <c:crosses val="autoZero"/>
        <c:auto val="1"/>
        <c:lblAlgn val="ctr"/>
        <c:lblOffset val="100"/>
        <c:noMultiLvlLbl val="0"/>
      </c:catAx>
      <c:valAx>
        <c:axId val="223737280"/>
        <c:scaling>
          <c:orientation val="minMax"/>
          <c:max val="100"/>
          <c:min val="70"/>
        </c:scaling>
        <c:delete val="1"/>
        <c:axPos val="l"/>
        <c:majorGridlines/>
        <c:title>
          <c:tx>
            <c:rich>
              <a:bodyPr rot="-5400000" vert="horz"/>
              <a:lstStyle/>
              <a:p>
                <a:pPr>
                  <a:defRPr/>
                </a:pPr>
                <a:r>
                  <a:rPr lang="en-US"/>
                  <a:t>Torque</a:t>
                </a:r>
                <a:r>
                  <a:rPr lang="en-US" baseline="0"/>
                  <a:t> N*m</a:t>
                </a:r>
                <a:endParaRPr lang="en-US"/>
              </a:p>
            </c:rich>
          </c:tx>
          <c:layout>
            <c:manualLayout>
              <c:xMode val="edge"/>
              <c:yMode val="edge"/>
              <c:x val="0.82557342242890064"/>
              <c:y val="0.43673385894807754"/>
            </c:manualLayout>
          </c:layout>
          <c:overlay val="0"/>
        </c:title>
        <c:numFmt formatCode="0" sourceLinked="1"/>
        <c:majorTickMark val="none"/>
        <c:minorTickMark val="none"/>
        <c:tickLblPos val="none"/>
        <c:crossAx val="223736888"/>
        <c:crosses val="autoZero"/>
        <c:crossBetween val="midCat"/>
        <c:majorUnit val="2"/>
      </c:valAx>
      <c:serAx>
        <c:axId val="222475296"/>
        <c:scaling>
          <c:orientation val="minMax"/>
        </c:scaling>
        <c:delete val="0"/>
        <c:axPos val="b"/>
        <c:majorTickMark val="none"/>
        <c:minorTickMark val="none"/>
        <c:tickLblPos val="nextTo"/>
        <c:spPr>
          <a:ln w="9525">
            <a:noFill/>
          </a:ln>
        </c:spPr>
        <c:crossAx val="223737280"/>
        <c:crosses val="autoZero"/>
      </c:serAx>
    </c:plotArea>
    <c:legend>
      <c:legendPos val="t"/>
      <c:layout>
        <c:manualLayout>
          <c:xMode val="edge"/>
          <c:yMode val="edge"/>
          <c:x val="5.1240629660746495E-2"/>
          <c:y val="9.7817544094999778E-2"/>
          <c:w val="0.80736145574855267"/>
          <c:h val="8.7520916651894223E-2"/>
        </c:manualLayout>
      </c:layout>
      <c:overlay val="0"/>
      <c:txPr>
        <a:bodyPr/>
        <a:lstStyle/>
        <a:p>
          <a:pPr rtl="0">
            <a:defRPr/>
          </a:pPr>
          <a:endParaRPr lang="en-US"/>
        </a:p>
      </c:txPr>
    </c:legend>
    <c:plotVisOnly val="1"/>
    <c:dispBlanksAs val="zero"/>
    <c:showDLblsOverMax val="0"/>
  </c:chart>
  <c:printSettings>
    <c:headerFooter/>
    <c:pageMargins b="0.75000000000000355" l="0.70000000000000062" r="0.70000000000000062" t="0.75000000000000355"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xdr:from>
      <xdr:col>7</xdr:col>
      <xdr:colOff>19050</xdr:colOff>
      <xdr:row>1</xdr:row>
      <xdr:rowOff>19050</xdr:rowOff>
    </xdr:from>
    <xdr:to>
      <xdr:col>12</xdr:col>
      <xdr:colOff>19050</xdr:colOff>
      <xdr:row>30</xdr:row>
      <xdr:rowOff>76200</xdr:rowOff>
    </xdr:to>
    <xdr:graphicFrame macro="">
      <xdr:nvGraphicFramePr>
        <xdr:cNvPr id="5633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190500</xdr:colOff>
      <xdr:row>0</xdr:row>
      <xdr:rowOff>161925</xdr:rowOff>
    </xdr:from>
    <xdr:to>
      <xdr:col>17</xdr:col>
      <xdr:colOff>523875</xdr:colOff>
      <xdr:row>30</xdr:row>
      <xdr:rowOff>28575</xdr:rowOff>
    </xdr:to>
    <xdr:graphicFrame macro="">
      <xdr:nvGraphicFramePr>
        <xdr:cNvPr id="56335"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47625</xdr:colOff>
      <xdr:row>0</xdr:row>
      <xdr:rowOff>152400</xdr:rowOff>
    </xdr:from>
    <xdr:to>
      <xdr:col>24</xdr:col>
      <xdr:colOff>9525</xdr:colOff>
      <xdr:row>30</xdr:row>
      <xdr:rowOff>19050</xdr:rowOff>
    </xdr:to>
    <xdr:graphicFrame macro="">
      <xdr:nvGraphicFramePr>
        <xdr:cNvPr id="56336"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190500</xdr:colOff>
      <xdr:row>1</xdr:row>
      <xdr:rowOff>19050</xdr:rowOff>
    </xdr:from>
    <xdr:to>
      <xdr:col>30</xdr:col>
      <xdr:colOff>9525</xdr:colOff>
      <xdr:row>29</xdr:row>
      <xdr:rowOff>152400</xdr:rowOff>
    </xdr:to>
    <xdr:graphicFrame macro="">
      <xdr:nvGraphicFramePr>
        <xdr:cNvPr id="5633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161925</xdr:colOff>
      <xdr:row>1</xdr:row>
      <xdr:rowOff>28574</xdr:rowOff>
    </xdr:from>
    <xdr:to>
      <xdr:col>34</xdr:col>
      <xdr:colOff>533400</xdr:colOff>
      <xdr:row>29</xdr:row>
      <xdr:rowOff>161924</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123825</xdr:colOff>
      <xdr:row>1</xdr:row>
      <xdr:rowOff>47625</xdr:rowOff>
    </xdr:from>
    <xdr:to>
      <xdr:col>40</xdr:col>
      <xdr:colOff>57150</xdr:colOff>
      <xdr:row>30</xdr:row>
      <xdr:rowOff>19050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579120</xdr:colOff>
          <xdr:row>34</xdr:row>
          <xdr:rowOff>114300</xdr:rowOff>
        </xdr:from>
        <xdr:to>
          <xdr:col>8</xdr:col>
          <xdr:colOff>601980</xdr:colOff>
          <xdr:row>36</xdr:row>
          <xdr:rowOff>121920</xdr:rowOff>
        </xdr:to>
        <xdr:sp macro="" textlink="">
          <xdr:nvSpPr>
            <xdr:cNvPr id="56321" name="cmdRPM" hidden="1">
              <a:extLst>
                <a:ext uri="{63B3BB69-23CF-44E3-9099-C40C66FF867C}">
                  <a14:compatExt spid="_x0000_s56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60960</xdr:colOff>
          <xdr:row>34</xdr:row>
          <xdr:rowOff>114300</xdr:rowOff>
        </xdr:from>
        <xdr:to>
          <xdr:col>10</xdr:col>
          <xdr:colOff>76200</xdr:colOff>
          <xdr:row>36</xdr:row>
          <xdr:rowOff>114300</xdr:rowOff>
        </xdr:to>
        <xdr:sp macro="" textlink="">
          <xdr:nvSpPr>
            <xdr:cNvPr id="56322" name="cmdRPS" hidden="1">
              <a:extLst>
                <a:ext uri="{63B3BB69-23CF-44E3-9099-C40C66FF867C}">
                  <a14:compatExt spid="_x0000_s563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34</xdr:row>
          <xdr:rowOff>137160</xdr:rowOff>
        </xdr:from>
        <xdr:to>
          <xdr:col>11</xdr:col>
          <xdr:colOff>175260</xdr:colOff>
          <xdr:row>36</xdr:row>
          <xdr:rowOff>114300</xdr:rowOff>
        </xdr:to>
        <xdr:sp macro="" textlink="">
          <xdr:nvSpPr>
            <xdr:cNvPr id="56323" name="cmdRadps" hidden="1">
              <a:extLst>
                <a:ext uri="{63B3BB69-23CF-44E3-9099-C40C66FF867C}">
                  <a14:compatExt spid="_x0000_s563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259080</xdr:colOff>
          <xdr:row>32</xdr:row>
          <xdr:rowOff>68580</xdr:rowOff>
        </xdr:from>
        <xdr:to>
          <xdr:col>8</xdr:col>
          <xdr:colOff>274320</xdr:colOff>
          <xdr:row>34</xdr:row>
          <xdr:rowOff>60960</xdr:rowOff>
        </xdr:to>
        <xdr:sp macro="" textlink="">
          <xdr:nvSpPr>
            <xdr:cNvPr id="56324" name="cmdOzIn" hidden="1">
              <a:extLst>
                <a:ext uri="{63B3BB69-23CF-44E3-9099-C40C66FF867C}">
                  <a14:compatExt spid="_x0000_s563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350520</xdr:colOff>
          <xdr:row>32</xdr:row>
          <xdr:rowOff>68580</xdr:rowOff>
        </xdr:from>
        <xdr:to>
          <xdr:col>9</xdr:col>
          <xdr:colOff>373380</xdr:colOff>
          <xdr:row>34</xdr:row>
          <xdr:rowOff>60960</xdr:rowOff>
        </xdr:to>
        <xdr:sp macro="" textlink="">
          <xdr:nvSpPr>
            <xdr:cNvPr id="56325" name="cmdInLbs" hidden="1">
              <a:extLst>
                <a:ext uri="{63B3BB69-23CF-44E3-9099-C40C66FF867C}">
                  <a14:compatExt spid="_x0000_s563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563880</xdr:colOff>
          <xdr:row>32</xdr:row>
          <xdr:rowOff>68580</xdr:rowOff>
        </xdr:from>
        <xdr:to>
          <xdr:col>11</xdr:col>
          <xdr:colOff>579120</xdr:colOff>
          <xdr:row>34</xdr:row>
          <xdr:rowOff>60960</xdr:rowOff>
        </xdr:to>
        <xdr:sp macro="" textlink="">
          <xdr:nvSpPr>
            <xdr:cNvPr id="56326" name="cmdNm" hidden="1">
              <a:extLst>
                <a:ext uri="{63B3BB69-23CF-44E3-9099-C40C66FF867C}">
                  <a14:compatExt spid="_x0000_s563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32</xdr:row>
          <xdr:rowOff>68580</xdr:rowOff>
        </xdr:from>
        <xdr:to>
          <xdr:col>10</xdr:col>
          <xdr:colOff>480060</xdr:colOff>
          <xdr:row>34</xdr:row>
          <xdr:rowOff>60960</xdr:rowOff>
        </xdr:to>
        <xdr:sp macro="" textlink="">
          <xdr:nvSpPr>
            <xdr:cNvPr id="56327" name="cmdftLbs" hidden="1">
              <a:extLst>
                <a:ext uri="{63B3BB69-23CF-44E3-9099-C40C66FF867C}">
                  <a14:compatExt spid="_x0000_s563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32</xdr:row>
          <xdr:rowOff>83820</xdr:rowOff>
        </xdr:from>
        <xdr:to>
          <xdr:col>14</xdr:col>
          <xdr:colOff>327660</xdr:colOff>
          <xdr:row>34</xdr:row>
          <xdr:rowOff>38100</xdr:rowOff>
        </xdr:to>
        <xdr:sp macro="" textlink="">
          <xdr:nvSpPr>
            <xdr:cNvPr id="56328" name="cmdPeakofSine" hidden="1">
              <a:extLst>
                <a:ext uri="{63B3BB69-23CF-44E3-9099-C40C66FF867C}">
                  <a14:compatExt spid="_x0000_s56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411480</xdr:colOff>
          <xdr:row>32</xdr:row>
          <xdr:rowOff>76200</xdr:rowOff>
        </xdr:from>
        <xdr:to>
          <xdr:col>15</xdr:col>
          <xdr:colOff>594360</xdr:colOff>
          <xdr:row>34</xdr:row>
          <xdr:rowOff>38100</xdr:rowOff>
        </xdr:to>
        <xdr:sp macro="" textlink="">
          <xdr:nvSpPr>
            <xdr:cNvPr id="56329" name="cmdAmpsRMS" hidden="1">
              <a:extLst>
                <a:ext uri="{63B3BB69-23CF-44E3-9099-C40C66FF867C}">
                  <a14:compatExt spid="_x0000_s563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60960</xdr:colOff>
          <xdr:row>32</xdr:row>
          <xdr:rowOff>76200</xdr:rowOff>
        </xdr:from>
        <xdr:to>
          <xdr:col>17</xdr:col>
          <xdr:colOff>160020</xdr:colOff>
          <xdr:row>34</xdr:row>
          <xdr:rowOff>38100</xdr:rowOff>
        </xdr:to>
        <xdr:sp macro="" textlink="">
          <xdr:nvSpPr>
            <xdr:cNvPr id="56330" name="cmdSixState" hidden="1">
              <a:extLst>
                <a:ext uri="{63B3BB69-23CF-44E3-9099-C40C66FF867C}">
                  <a14:compatExt spid="_x0000_s563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228600</xdr:colOff>
          <xdr:row>32</xdr:row>
          <xdr:rowOff>45720</xdr:rowOff>
        </xdr:from>
        <xdr:to>
          <xdr:col>20</xdr:col>
          <xdr:colOff>312420</xdr:colOff>
          <xdr:row>33</xdr:row>
          <xdr:rowOff>152400</xdr:rowOff>
        </xdr:to>
        <xdr:sp macro="" textlink="">
          <xdr:nvSpPr>
            <xdr:cNvPr id="56331" name="cmdWatts" hidden="1">
              <a:extLst>
                <a:ext uri="{63B3BB69-23CF-44E3-9099-C40C66FF867C}">
                  <a14:compatExt spid="_x0000_s563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464820</xdr:colOff>
          <xdr:row>32</xdr:row>
          <xdr:rowOff>45720</xdr:rowOff>
        </xdr:from>
        <xdr:to>
          <xdr:col>21</xdr:col>
          <xdr:colOff>571500</xdr:colOff>
          <xdr:row>34</xdr:row>
          <xdr:rowOff>0</xdr:rowOff>
        </xdr:to>
        <xdr:sp macro="" textlink="">
          <xdr:nvSpPr>
            <xdr:cNvPr id="56332" name="cmdKiloWatts" hidden="1">
              <a:extLst>
                <a:ext uri="{63B3BB69-23CF-44E3-9099-C40C66FF867C}">
                  <a14:compatExt spid="_x0000_s563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121920</xdr:colOff>
          <xdr:row>32</xdr:row>
          <xdr:rowOff>68580</xdr:rowOff>
        </xdr:from>
        <xdr:to>
          <xdr:col>23</xdr:col>
          <xdr:colOff>190500</xdr:colOff>
          <xdr:row>34</xdr:row>
          <xdr:rowOff>0</xdr:rowOff>
        </xdr:to>
        <xdr:sp macro="" textlink="">
          <xdr:nvSpPr>
            <xdr:cNvPr id="56333" name="cmdHP" hidden="1">
              <a:extLst>
                <a:ext uri="{63B3BB69-23CF-44E3-9099-C40C66FF867C}">
                  <a14:compatExt spid="_x0000_s563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28575</xdr:colOff>
      <xdr:row>1</xdr:row>
      <xdr:rowOff>66674</xdr:rowOff>
    </xdr:from>
    <xdr:to>
      <xdr:col>12</xdr:col>
      <xdr:colOff>304800</xdr:colOff>
      <xdr:row>31</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220980</xdr:colOff>
          <xdr:row>17</xdr:row>
          <xdr:rowOff>152400</xdr:rowOff>
        </xdr:from>
        <xdr:to>
          <xdr:col>4</xdr:col>
          <xdr:colOff>350520</xdr:colOff>
          <xdr:row>91</xdr:row>
          <xdr:rowOff>7620</xdr:rowOff>
        </xdr:to>
        <xdr:sp macro="" textlink="">
          <xdr:nvSpPr>
            <xdr:cNvPr id="2049" name="Object 1" hidden="1">
              <a:extLst>
                <a:ext uri="{63B3BB69-23CF-44E3-9099-C40C66FF867C}">
                  <a14:compatExt spid="_x0000_s2049"/>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image" Target="../media/image14.emf"/><Relationship Id="rId4" Type="http://schemas.openxmlformats.org/officeDocument/2006/relationships/oleObject" Target="../embeddings/Microsoft_Word_97_-_2003_Document.doc"/></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AN64"/>
  <sheetViews>
    <sheetView showGridLines="0" tabSelected="1" workbookViewId="0"/>
  </sheetViews>
  <sheetFormatPr defaultRowHeight="13.2" x14ac:dyDescent="0.25"/>
  <cols>
    <col min="1" max="1" width="4.5546875" customWidth="1"/>
    <col min="2" max="2" width="28.88671875" customWidth="1"/>
    <col min="3" max="3" width="8" customWidth="1"/>
    <col min="4" max="4" width="8.6640625" customWidth="1"/>
    <col min="5" max="5" width="14.88671875" customWidth="1"/>
    <col min="6" max="6" width="14" customWidth="1"/>
    <col min="7" max="7" width="1.5546875" customWidth="1"/>
    <col min="12" max="12" width="11.33203125" customWidth="1"/>
    <col min="13" max="13" width="3.44140625" customWidth="1"/>
    <col min="18" max="18" width="8.109375" customWidth="1"/>
    <col min="19" max="19" width="3.33203125" customWidth="1"/>
    <col min="20" max="24" width="8.6640625" customWidth="1"/>
    <col min="25" max="25" width="3.109375" customWidth="1"/>
    <col min="29" max="29" width="7.6640625" customWidth="1"/>
    <col min="30" max="30" width="7.33203125" customWidth="1"/>
    <col min="31" max="31" width="5" customWidth="1"/>
    <col min="35" max="35" width="6.88671875" customWidth="1"/>
    <col min="36" max="36" width="4.33203125" customWidth="1"/>
    <col min="37" max="37" width="7.6640625" customWidth="1"/>
  </cols>
  <sheetData>
    <row r="1" spans="2:12" ht="13.8" thickBot="1" x14ac:dyDescent="0.3"/>
    <row r="2" spans="2:12" ht="16.2" thickBot="1" x14ac:dyDescent="0.35">
      <c r="B2" s="182" t="s">
        <v>150</v>
      </c>
      <c r="C2" s="183"/>
      <c r="D2" s="183"/>
      <c r="E2" s="183"/>
      <c r="F2" s="184"/>
    </row>
    <row r="3" spans="2:12" x14ac:dyDescent="0.25">
      <c r="B3" s="61" t="s">
        <v>149</v>
      </c>
      <c r="C3" s="185" t="str">
        <f>MotorData1!B5</f>
        <v>GVK142-050M6</v>
      </c>
      <c r="D3" s="186"/>
      <c r="E3" s="186"/>
      <c r="F3" s="187"/>
    </row>
    <row r="4" spans="2:12" x14ac:dyDescent="0.25">
      <c r="B4" s="60" t="s">
        <v>148</v>
      </c>
      <c r="C4" s="188" t="str">
        <f>DriveData1!B5</f>
        <v>GenericAmp</v>
      </c>
      <c r="D4" s="189"/>
      <c r="E4" s="189"/>
      <c r="F4" s="190"/>
    </row>
    <row r="5" spans="2:12" ht="13.8" thickBot="1" x14ac:dyDescent="0.3">
      <c r="B5" s="59" t="s">
        <v>147</v>
      </c>
      <c r="C5" s="179" t="str">
        <f>MotorData1!B27</f>
        <v>External Water Cooling</v>
      </c>
      <c r="D5" s="180"/>
      <c r="E5" s="180"/>
      <c r="F5" s="181"/>
    </row>
    <row r="6" spans="2:12" ht="16.2" thickBot="1" x14ac:dyDescent="0.35">
      <c r="B6" s="58" t="s">
        <v>146</v>
      </c>
      <c r="C6" s="58" t="s">
        <v>145</v>
      </c>
      <c r="D6" s="58" t="s">
        <v>144</v>
      </c>
      <c r="E6" s="58" t="s">
        <v>143</v>
      </c>
      <c r="F6" s="58" t="s">
        <v>142</v>
      </c>
      <c r="J6" s="56" t="s">
        <v>141</v>
      </c>
      <c r="K6" s="56"/>
      <c r="L6" s="56"/>
    </row>
    <row r="7" spans="2:12" x14ac:dyDescent="0.25">
      <c r="B7" s="30" t="s">
        <v>140</v>
      </c>
      <c r="C7" s="57" t="s">
        <v>117</v>
      </c>
      <c r="D7" s="28" t="s">
        <v>139</v>
      </c>
      <c r="E7" s="28" t="s">
        <v>64</v>
      </c>
      <c r="F7" s="160">
        <f>MotorData1!B31/141.6</f>
        <v>18.552259887005651</v>
      </c>
      <c r="H7" s="55"/>
      <c r="J7" s="54" t="s">
        <v>289</v>
      </c>
      <c r="K7" s="56"/>
      <c r="L7" s="56"/>
    </row>
    <row r="8" spans="2:12" x14ac:dyDescent="0.25">
      <c r="B8" s="5" t="s">
        <v>140</v>
      </c>
      <c r="C8" s="39" t="s">
        <v>117</v>
      </c>
      <c r="D8" s="26" t="s">
        <v>139</v>
      </c>
      <c r="E8" s="26" t="s">
        <v>125</v>
      </c>
      <c r="F8" s="161">
        <f>MotorData1!B31/16</f>
        <v>164.1875</v>
      </c>
      <c r="J8" s="56"/>
      <c r="K8" s="56"/>
      <c r="L8" s="56"/>
    </row>
    <row r="9" spans="2:12" x14ac:dyDescent="0.25">
      <c r="B9" s="5" t="s">
        <v>140</v>
      </c>
      <c r="C9" s="39" t="s">
        <v>117</v>
      </c>
      <c r="D9" s="26" t="s">
        <v>139</v>
      </c>
      <c r="E9" s="26" t="s">
        <v>122</v>
      </c>
      <c r="F9" s="161" t="str">
        <f>MotorData1!B31</f>
        <v>2627</v>
      </c>
    </row>
    <row r="10" spans="2:12" x14ac:dyDescent="0.25">
      <c r="B10" s="5" t="s">
        <v>137</v>
      </c>
      <c r="C10" s="39" t="s">
        <v>117</v>
      </c>
      <c r="D10" s="26" t="s">
        <v>138</v>
      </c>
      <c r="E10" s="26" t="s">
        <v>115</v>
      </c>
      <c r="F10" s="161">
        <f>MotorData1!B33*SQRT(2/3)</f>
        <v>77.109937102814442</v>
      </c>
      <c r="H10" s="55"/>
    </row>
    <row r="11" spans="2:12" x14ac:dyDescent="0.25">
      <c r="B11" s="5" t="s">
        <v>137</v>
      </c>
      <c r="C11" s="39" t="s">
        <v>117</v>
      </c>
      <c r="D11" s="26" t="s">
        <v>136</v>
      </c>
      <c r="E11" s="26" t="s">
        <v>130</v>
      </c>
      <c r="F11" s="161" t="str">
        <f>MotorData1!B33</f>
        <v>94.44</v>
      </c>
    </row>
    <row r="12" spans="2:12" x14ac:dyDescent="0.25">
      <c r="B12" s="5" t="s">
        <v>135</v>
      </c>
      <c r="C12" s="39"/>
      <c r="D12" s="26" t="s">
        <v>134</v>
      </c>
      <c r="E12" s="26" t="s">
        <v>64</v>
      </c>
      <c r="F12" s="162">
        <f>MotorData1!B32/141.6</f>
        <v>49.766949152542374</v>
      </c>
    </row>
    <row r="13" spans="2:12" x14ac:dyDescent="0.25">
      <c r="B13" s="5" t="s">
        <v>135</v>
      </c>
      <c r="C13" s="39"/>
      <c r="D13" s="26" t="s">
        <v>134</v>
      </c>
      <c r="E13" s="26" t="s">
        <v>125</v>
      </c>
      <c r="F13" s="161">
        <f>MotorData1!B32/16</f>
        <v>440.4375</v>
      </c>
    </row>
    <row r="14" spans="2:12" x14ac:dyDescent="0.25">
      <c r="B14" s="5" t="s">
        <v>135</v>
      </c>
      <c r="C14" s="39"/>
      <c r="D14" s="26" t="s">
        <v>134</v>
      </c>
      <c r="E14" s="26" t="s">
        <v>122</v>
      </c>
      <c r="F14" s="161" t="str">
        <f>MotorData1!B32</f>
        <v>7047</v>
      </c>
    </row>
    <row r="15" spans="2:12" x14ac:dyDescent="0.25">
      <c r="B15" s="5" t="s">
        <v>132</v>
      </c>
      <c r="C15" s="39"/>
      <c r="D15" s="26" t="s">
        <v>133</v>
      </c>
      <c r="E15" s="26" t="s">
        <v>115</v>
      </c>
      <c r="F15" s="161">
        <f>MotorData1!B34*SQRT(2/3)</f>
        <v>385.54968551407222</v>
      </c>
    </row>
    <row r="16" spans="2:12" x14ac:dyDescent="0.25">
      <c r="B16" s="5" t="s">
        <v>132</v>
      </c>
      <c r="C16" s="39"/>
      <c r="D16" s="26" t="s">
        <v>131</v>
      </c>
      <c r="E16" s="26" t="s">
        <v>130</v>
      </c>
      <c r="F16" s="161" t="str">
        <f>MotorData1!B34</f>
        <v>472.2</v>
      </c>
    </row>
    <row r="17" spans="2:24" x14ac:dyDescent="0.25">
      <c r="B17" s="5" t="s">
        <v>129</v>
      </c>
      <c r="C17" s="39" t="s">
        <v>128</v>
      </c>
      <c r="D17" s="26" t="s">
        <v>127</v>
      </c>
      <c r="E17" s="26" t="s">
        <v>126</v>
      </c>
      <c r="F17" s="163" t="str">
        <f>MotorData1!B35</f>
        <v>12659</v>
      </c>
    </row>
    <row r="18" spans="2:24" x14ac:dyDescent="0.25">
      <c r="B18" s="5" t="s">
        <v>124</v>
      </c>
      <c r="C18" s="39" t="s">
        <v>117</v>
      </c>
      <c r="D18" s="26" t="s">
        <v>123</v>
      </c>
      <c r="E18" s="26" t="s">
        <v>64</v>
      </c>
      <c r="F18" s="162">
        <f>MotorData1!B36/141.6</f>
        <v>15.303672316384182</v>
      </c>
    </row>
    <row r="19" spans="2:24" x14ac:dyDescent="0.25">
      <c r="B19" s="5" t="s">
        <v>124</v>
      </c>
      <c r="C19" s="39" t="s">
        <v>117</v>
      </c>
      <c r="D19" s="26" t="s">
        <v>123</v>
      </c>
      <c r="E19" s="26" t="s">
        <v>125</v>
      </c>
      <c r="F19" s="161">
        <f>MotorData1!B36/16</f>
        <v>135.4375</v>
      </c>
    </row>
    <row r="20" spans="2:24" x14ac:dyDescent="0.25">
      <c r="B20" s="5" t="s">
        <v>124</v>
      </c>
      <c r="C20" s="39" t="s">
        <v>117</v>
      </c>
      <c r="D20" s="26" t="s">
        <v>123</v>
      </c>
      <c r="E20" s="26" t="s">
        <v>122</v>
      </c>
      <c r="F20" s="161" t="str">
        <f>MotorData1!B36</f>
        <v>2167</v>
      </c>
    </row>
    <row r="21" spans="2:24" x14ac:dyDescent="0.25">
      <c r="B21" s="5" t="s">
        <v>121</v>
      </c>
      <c r="C21" s="39" t="s">
        <v>117</v>
      </c>
      <c r="D21" s="26" t="s">
        <v>120</v>
      </c>
      <c r="E21" s="26" t="s">
        <v>119</v>
      </c>
      <c r="F21" s="161">
        <f>MotorData1!B37/1000</f>
        <v>20.291</v>
      </c>
    </row>
    <row r="22" spans="2:24" x14ac:dyDescent="0.25">
      <c r="B22" s="5" t="s">
        <v>118</v>
      </c>
      <c r="C22" s="39" t="s">
        <v>117</v>
      </c>
      <c r="D22" s="26" t="s">
        <v>116</v>
      </c>
      <c r="E22" s="26" t="s">
        <v>115</v>
      </c>
      <c r="F22" s="161">
        <f>MotorData1!B38/SQRT(2)</f>
        <v>66.446824228099871</v>
      </c>
    </row>
    <row r="23" spans="2:24" x14ac:dyDescent="0.25">
      <c r="B23" s="5" t="s">
        <v>112</v>
      </c>
      <c r="C23" s="39" t="s">
        <v>103</v>
      </c>
      <c r="D23" s="26" t="s">
        <v>114</v>
      </c>
      <c r="E23" s="26" t="s">
        <v>113</v>
      </c>
      <c r="F23" s="164" t="str">
        <f>MotorData1!B7</f>
        <v>0.1978</v>
      </c>
    </row>
    <row r="24" spans="2:24" x14ac:dyDescent="0.25">
      <c r="B24" s="5" t="s">
        <v>112</v>
      </c>
      <c r="C24" s="39" t="s">
        <v>103</v>
      </c>
      <c r="D24" s="26" t="s">
        <v>111</v>
      </c>
      <c r="E24" s="26" t="s">
        <v>110</v>
      </c>
      <c r="F24" s="162">
        <f>2*3.1415927*1000*F23/60/SQRT(2)</f>
        <v>14.646704302501981</v>
      </c>
    </row>
    <row r="25" spans="2:24" x14ac:dyDescent="0.25">
      <c r="B25" s="5" t="s">
        <v>107</v>
      </c>
      <c r="C25" s="39" t="s">
        <v>103</v>
      </c>
      <c r="D25" s="26" t="s">
        <v>109</v>
      </c>
      <c r="E25" s="26" t="s">
        <v>108</v>
      </c>
      <c r="F25" s="165">
        <f>F23*SQRT(3/2)</f>
        <v>0.24225453556125628</v>
      </c>
    </row>
    <row r="26" spans="2:24" x14ac:dyDescent="0.25">
      <c r="B26" s="5" t="s">
        <v>107</v>
      </c>
      <c r="C26" s="39" t="s">
        <v>103</v>
      </c>
      <c r="D26" s="26" t="s">
        <v>106</v>
      </c>
      <c r="E26" s="26" t="s">
        <v>105</v>
      </c>
      <c r="F26" s="162">
        <f>MotorData1!B7*141.6</f>
        <v>28.008479999999999</v>
      </c>
    </row>
    <row r="27" spans="2:24" x14ac:dyDescent="0.25">
      <c r="B27" s="5" t="s">
        <v>104</v>
      </c>
      <c r="C27" s="39" t="s">
        <v>103</v>
      </c>
      <c r="D27" s="26" t="s">
        <v>102</v>
      </c>
      <c r="E27" s="26" t="s">
        <v>101</v>
      </c>
      <c r="F27" s="164" t="str">
        <f>MotorData1!B8</f>
        <v>0.03994</v>
      </c>
    </row>
    <row r="28" spans="2:24" x14ac:dyDescent="0.25">
      <c r="B28" s="5" t="s">
        <v>100</v>
      </c>
      <c r="C28" s="39" t="s">
        <v>99</v>
      </c>
      <c r="D28" s="26" t="s">
        <v>98</v>
      </c>
      <c r="E28" s="26" t="s">
        <v>97</v>
      </c>
      <c r="F28" s="165">
        <f>(MotorData1!B9+MotorData1!B10)*500</f>
        <v>0.17650000000000002</v>
      </c>
    </row>
    <row r="29" spans="2:24" x14ac:dyDescent="0.25">
      <c r="B29" s="5" t="s">
        <v>96</v>
      </c>
      <c r="C29" s="39">
        <v>6</v>
      </c>
      <c r="D29" s="26" t="s">
        <v>95</v>
      </c>
      <c r="E29" s="26" t="s">
        <v>94</v>
      </c>
      <c r="F29" s="33" t="str">
        <f>MotorData1!B12</f>
        <v>750.0</v>
      </c>
    </row>
    <row r="30" spans="2:24" x14ac:dyDescent="0.25">
      <c r="B30" s="5" t="s">
        <v>93</v>
      </c>
      <c r="C30" s="39">
        <v>6</v>
      </c>
      <c r="D30" s="26" t="s">
        <v>92</v>
      </c>
      <c r="E30" s="26" t="s">
        <v>91</v>
      </c>
      <c r="F30" s="163">
        <f>F29/SQRT(2)</f>
        <v>530.33008588991061</v>
      </c>
    </row>
    <row r="31" spans="2:24" ht="13.8" thickBot="1" x14ac:dyDescent="0.3">
      <c r="B31" s="5" t="s">
        <v>90</v>
      </c>
      <c r="C31" s="39" t="s">
        <v>40</v>
      </c>
      <c r="D31" s="26" t="s">
        <v>89</v>
      </c>
      <c r="E31" s="26" t="s">
        <v>86</v>
      </c>
      <c r="F31" s="164" t="str">
        <f>MotorData1!B13</f>
        <v>0.1933</v>
      </c>
    </row>
    <row r="32" spans="2:24" x14ac:dyDescent="0.25">
      <c r="B32" s="2" t="s">
        <v>88</v>
      </c>
      <c r="C32" s="39" t="s">
        <v>40</v>
      </c>
      <c r="D32" s="54" t="s">
        <v>87</v>
      </c>
      <c r="E32" s="26" t="s">
        <v>86</v>
      </c>
      <c r="F32" s="166" t="str">
        <f>MotorData1!B14</f>
        <v>0.1356</v>
      </c>
      <c r="H32" s="53" t="s">
        <v>85</v>
      </c>
      <c r="I32" s="52"/>
      <c r="J32" s="52"/>
      <c r="K32" s="52"/>
      <c r="L32" s="51"/>
      <c r="N32" s="53" t="s">
        <v>84</v>
      </c>
      <c r="O32" s="52"/>
      <c r="P32" s="52"/>
      <c r="Q32" s="52"/>
      <c r="R32" s="51"/>
      <c r="T32" s="53" t="s">
        <v>83</v>
      </c>
      <c r="U32" s="52"/>
      <c r="V32" s="52"/>
      <c r="W32" s="52"/>
      <c r="X32" s="51"/>
    </row>
    <row r="33" spans="2:40" x14ac:dyDescent="0.25">
      <c r="B33" s="5" t="s">
        <v>82</v>
      </c>
      <c r="C33" s="39"/>
      <c r="D33" s="26" t="s">
        <v>81</v>
      </c>
      <c r="E33" s="26" t="s">
        <v>76</v>
      </c>
      <c r="F33" s="163" t="str">
        <f>MotorData1!B19</f>
        <v>40.00</v>
      </c>
      <c r="H33" s="49"/>
      <c r="I33" s="48"/>
      <c r="J33" s="48"/>
      <c r="K33" s="48"/>
      <c r="L33" s="47"/>
      <c r="N33" s="49"/>
      <c r="O33" s="48"/>
      <c r="P33" s="48"/>
      <c r="Q33" s="48"/>
      <c r="R33" s="47"/>
      <c r="T33" s="49"/>
      <c r="U33" s="48"/>
      <c r="V33" s="48"/>
      <c r="W33" s="48"/>
      <c r="X33" s="47"/>
    </row>
    <row r="34" spans="2:40" x14ac:dyDescent="0.25">
      <c r="B34" s="5" t="s">
        <v>80</v>
      </c>
      <c r="C34" s="39"/>
      <c r="D34" s="26" t="s">
        <v>79</v>
      </c>
      <c r="E34" s="26" t="s">
        <v>76</v>
      </c>
      <c r="F34" s="163" t="str">
        <f>MotorData1!B17</f>
        <v>180.0</v>
      </c>
      <c r="H34" s="49"/>
      <c r="I34" s="48"/>
      <c r="J34" s="48"/>
      <c r="K34" s="48"/>
      <c r="L34" s="47"/>
      <c r="N34" s="49"/>
      <c r="O34" s="48"/>
      <c r="P34" s="48"/>
      <c r="Q34" s="48"/>
      <c r="R34" s="47"/>
      <c r="T34" s="49"/>
      <c r="U34" s="48"/>
      <c r="V34" s="48"/>
      <c r="W34" s="48"/>
      <c r="X34" s="47"/>
    </row>
    <row r="35" spans="2:40" ht="12.75" customHeight="1" x14ac:dyDescent="0.25">
      <c r="B35" s="5" t="s">
        <v>78</v>
      </c>
      <c r="C35" s="39">
        <v>7</v>
      </c>
      <c r="D35" s="26" t="s">
        <v>77</v>
      </c>
      <c r="E35" s="26" t="s">
        <v>76</v>
      </c>
      <c r="F35" s="163" t="str">
        <f>MotorData1!B39</f>
        <v>140</v>
      </c>
      <c r="H35" s="49"/>
      <c r="I35" s="48"/>
      <c r="J35" s="48"/>
      <c r="K35" s="48"/>
      <c r="L35" s="47"/>
      <c r="N35" s="49"/>
      <c r="O35" s="48"/>
      <c r="P35" s="48"/>
      <c r="Q35" s="48"/>
      <c r="R35" s="47"/>
      <c r="T35" s="49"/>
      <c r="U35" s="48"/>
      <c r="V35" s="48"/>
      <c r="W35" s="48"/>
      <c r="X35" s="47"/>
    </row>
    <row r="36" spans="2:40" ht="12.75" customHeight="1" x14ac:dyDescent="0.25">
      <c r="B36" s="5" t="s">
        <v>75</v>
      </c>
      <c r="C36" s="39" t="s">
        <v>66</v>
      </c>
      <c r="D36" s="50" t="s">
        <v>74</v>
      </c>
      <c r="E36" s="26" t="s">
        <v>71</v>
      </c>
      <c r="F36" s="161">
        <f>MotorData1!B25/60</f>
        <v>7</v>
      </c>
      <c r="H36" s="49"/>
      <c r="I36" s="48"/>
      <c r="J36" s="48"/>
      <c r="K36" s="48"/>
      <c r="L36" s="47"/>
      <c r="N36" s="49"/>
      <c r="O36" s="48"/>
      <c r="P36" s="48"/>
      <c r="Q36" s="48"/>
      <c r="R36" s="47"/>
      <c r="T36" s="49"/>
      <c r="U36" s="48"/>
      <c r="V36" s="48"/>
      <c r="W36" s="48"/>
      <c r="X36" s="47"/>
    </row>
    <row r="37" spans="2:40" ht="15" x14ac:dyDescent="0.25">
      <c r="B37" s="5" t="s">
        <v>73</v>
      </c>
      <c r="C37" s="39" t="s">
        <v>66</v>
      </c>
      <c r="D37" s="50" t="s">
        <v>72</v>
      </c>
      <c r="E37" s="26" t="s">
        <v>71</v>
      </c>
      <c r="F37" s="161">
        <f>MotorData1!B26/60</f>
        <v>1.6700000000000002</v>
      </c>
      <c r="H37" s="49"/>
      <c r="I37" s="48"/>
      <c r="J37" s="48"/>
      <c r="K37" s="48"/>
      <c r="L37" s="47"/>
      <c r="N37" s="49"/>
      <c r="O37" s="48"/>
      <c r="P37" s="48"/>
      <c r="Q37" s="48"/>
      <c r="R37" s="47"/>
      <c r="T37" s="49"/>
      <c r="U37" s="48"/>
      <c r="V37" s="48"/>
      <c r="W37" s="48"/>
      <c r="X37" s="47"/>
    </row>
    <row r="38" spans="2:40" ht="13.8" thickBot="1" x14ac:dyDescent="0.3">
      <c r="B38" s="5" t="s">
        <v>70</v>
      </c>
      <c r="C38" s="39" t="s">
        <v>66</v>
      </c>
      <c r="D38" s="26" t="s">
        <v>69</v>
      </c>
      <c r="E38" s="26" t="s">
        <v>68</v>
      </c>
      <c r="F38" s="164">
        <f>MotorData1!B15/141.6</f>
        <v>2.2697740112994351E-2</v>
      </c>
      <c r="H38" s="46"/>
      <c r="I38" s="45"/>
      <c r="J38" s="45"/>
      <c r="K38" s="45"/>
      <c r="L38" s="44"/>
      <c r="N38" s="46"/>
      <c r="O38" s="45"/>
      <c r="P38" s="45"/>
      <c r="Q38" s="45"/>
      <c r="R38" s="44"/>
      <c r="T38" s="46"/>
      <c r="U38" s="45"/>
      <c r="V38" s="45"/>
      <c r="W38" s="45"/>
      <c r="X38" s="44"/>
    </row>
    <row r="39" spans="2:40" x14ac:dyDescent="0.25">
      <c r="B39" s="5" t="s">
        <v>67</v>
      </c>
      <c r="C39" s="39" t="s">
        <v>66</v>
      </c>
      <c r="D39" s="26" t="s">
        <v>65</v>
      </c>
      <c r="E39" s="26" t="s">
        <v>64</v>
      </c>
      <c r="F39" s="164">
        <f>MotorData1!B16/141.6</f>
        <v>4.8700564971751417E-2</v>
      </c>
      <c r="H39" s="43" t="s">
        <v>63</v>
      </c>
      <c r="I39" s="43"/>
      <c r="J39" s="43"/>
      <c r="K39" s="43"/>
      <c r="L39" s="43"/>
      <c r="N39" s="43" t="s">
        <v>62</v>
      </c>
      <c r="O39" s="43"/>
      <c r="P39" s="43"/>
      <c r="Q39" s="43"/>
      <c r="R39" s="43"/>
      <c r="T39" s="43" t="s">
        <v>61</v>
      </c>
      <c r="U39" s="43"/>
      <c r="V39" s="43"/>
      <c r="W39" s="43"/>
      <c r="X39" s="43"/>
      <c r="Z39" s="43" t="s">
        <v>60</v>
      </c>
      <c r="AA39" s="43"/>
      <c r="AB39" s="43"/>
      <c r="AC39" s="43"/>
      <c r="AD39" s="43"/>
      <c r="AF39" s="43" t="s">
        <v>310</v>
      </c>
      <c r="AG39" s="43"/>
      <c r="AH39" s="43"/>
      <c r="AI39" s="43"/>
      <c r="AJ39" s="55"/>
      <c r="AK39" s="43" t="s">
        <v>312</v>
      </c>
      <c r="AL39" s="43"/>
      <c r="AM39" s="43"/>
      <c r="AN39" s="43"/>
    </row>
    <row r="40" spans="2:40" ht="12.75" customHeight="1" x14ac:dyDescent="0.25">
      <c r="B40" s="5" t="s">
        <v>54</v>
      </c>
      <c r="C40" s="39" t="s">
        <v>40</v>
      </c>
      <c r="D40" s="26" t="s">
        <v>53</v>
      </c>
      <c r="E40" s="26" t="s">
        <v>59</v>
      </c>
      <c r="F40" s="167">
        <f>MotorData1!B11*0.00706154</f>
        <v>2.1798973979999998E-3</v>
      </c>
      <c r="H40" s="43" t="s">
        <v>58</v>
      </c>
      <c r="I40" s="43"/>
      <c r="J40" s="43"/>
      <c r="K40" s="43"/>
      <c r="L40" s="43"/>
      <c r="N40" s="43" t="s">
        <v>57</v>
      </c>
      <c r="O40" s="43"/>
      <c r="P40" s="43"/>
      <c r="Q40" s="43"/>
      <c r="R40" s="43"/>
      <c r="T40" s="43" t="s">
        <v>56</v>
      </c>
      <c r="U40" s="43"/>
      <c r="V40" s="43"/>
      <c r="W40" s="43"/>
      <c r="X40" s="43"/>
      <c r="Z40" s="43" t="s">
        <v>55</v>
      </c>
      <c r="AA40" s="43"/>
      <c r="AB40" s="43"/>
      <c r="AC40" s="43"/>
      <c r="AD40" s="43"/>
      <c r="AF40" s="43" t="s">
        <v>311</v>
      </c>
      <c r="AG40" s="43"/>
      <c r="AH40" s="43"/>
      <c r="AI40" s="43"/>
      <c r="AJ40" s="55"/>
      <c r="AK40" s="43" t="s">
        <v>313</v>
      </c>
      <c r="AL40" s="43"/>
      <c r="AM40" s="43"/>
      <c r="AN40" s="43"/>
    </row>
    <row r="41" spans="2:40" x14ac:dyDescent="0.25">
      <c r="B41" s="5" t="s">
        <v>54</v>
      </c>
      <c r="C41" s="39" t="s">
        <v>40</v>
      </c>
      <c r="D41" s="26" t="s">
        <v>53</v>
      </c>
      <c r="E41" s="26" t="s">
        <v>52</v>
      </c>
      <c r="F41" s="167">
        <f>MotorData1!B11*0.0624998</f>
        <v>1.9293688259999997E-2</v>
      </c>
      <c r="H41" s="173" t="str">
        <f xml:space="preserve"> "Lt Blue Dotted is battery cont current limit ("&amp;TSData1!BF2&amp;"Amps)"</f>
        <v>Lt Blue Dotted is battery cont current limit (-10Amps)</v>
      </c>
      <c r="I41" s="173"/>
      <c r="J41" s="173"/>
      <c r="K41" s="173"/>
      <c r="L41" s="173"/>
      <c r="T41" s="42" t="s">
        <v>51</v>
      </c>
      <c r="U41" s="42"/>
      <c r="V41" s="42"/>
      <c r="W41" s="42"/>
      <c r="X41" s="42"/>
      <c r="Z41" t="s">
        <v>50</v>
      </c>
      <c r="AK41" s="158" t="s">
        <v>314</v>
      </c>
      <c r="AL41" s="158"/>
      <c r="AM41" s="158"/>
      <c r="AN41" s="158"/>
    </row>
    <row r="42" spans="2:40" x14ac:dyDescent="0.25">
      <c r="B42" s="5" t="s">
        <v>49</v>
      </c>
      <c r="C42" s="39"/>
      <c r="D42" s="26" t="s">
        <v>48</v>
      </c>
      <c r="E42" s="26" t="s">
        <v>47</v>
      </c>
      <c r="F42" s="33" t="str">
        <f>MotorData1!B21</f>
        <v>12.00</v>
      </c>
      <c r="H42" s="173" t="str">
        <f xml:space="preserve"> "Lt Blue solid is battery peak current limit ("&amp;TSData1!BF1&amp;"Amps)"</f>
        <v>Lt Blue solid is battery peak current limit (-10Amps)</v>
      </c>
      <c r="I42" s="173"/>
      <c r="J42" s="173"/>
      <c r="K42" s="173"/>
      <c r="L42" s="173"/>
      <c r="T42" s="40" t="s">
        <v>46</v>
      </c>
      <c r="U42" s="40"/>
      <c r="V42" s="40"/>
      <c r="W42" s="40"/>
      <c r="X42" s="40"/>
      <c r="Z42" t="s">
        <v>45</v>
      </c>
      <c r="AK42" s="157" t="s">
        <v>315</v>
      </c>
      <c r="AL42" s="157"/>
      <c r="AM42" s="157"/>
      <c r="AN42" s="157"/>
    </row>
    <row r="43" spans="2:40" x14ac:dyDescent="0.25">
      <c r="B43" s="5" t="s">
        <v>41</v>
      </c>
      <c r="C43" s="39" t="s">
        <v>40</v>
      </c>
      <c r="D43" s="26" t="s">
        <v>39</v>
      </c>
      <c r="E43" s="26" t="s">
        <v>44</v>
      </c>
      <c r="F43" s="161">
        <f>MotorData1!B28/2.2046</f>
        <v>4.0016329492878517</v>
      </c>
      <c r="T43" s="40" t="s">
        <v>43</v>
      </c>
      <c r="U43" s="40"/>
      <c r="V43" s="40"/>
      <c r="W43" s="40"/>
      <c r="X43" s="40"/>
      <c r="Z43" t="s">
        <v>42</v>
      </c>
      <c r="AK43" s="159" t="s">
        <v>316</v>
      </c>
      <c r="AL43" s="159"/>
      <c r="AM43" s="159"/>
      <c r="AN43" s="159"/>
    </row>
    <row r="44" spans="2:40" x14ac:dyDescent="0.25">
      <c r="B44" s="5" t="s">
        <v>41</v>
      </c>
      <c r="C44" s="39" t="s">
        <v>40</v>
      </c>
      <c r="D44" s="26" t="s">
        <v>39</v>
      </c>
      <c r="E44" s="26" t="s">
        <v>38</v>
      </c>
      <c r="F44" s="161" t="str">
        <f>MotorData1!B28</f>
        <v>8.822</v>
      </c>
      <c r="H44" s="177"/>
      <c r="I44" s="177"/>
      <c r="J44" s="177"/>
      <c r="K44" s="177"/>
      <c r="L44" s="177"/>
      <c r="T44" t="s">
        <v>37</v>
      </c>
      <c r="AK44" s="159" t="s">
        <v>317</v>
      </c>
      <c r="AL44" s="159"/>
      <c r="AM44" s="159"/>
      <c r="AN44" s="159"/>
    </row>
    <row r="45" spans="2:40" x14ac:dyDescent="0.25">
      <c r="B45" s="38" t="s">
        <v>36</v>
      </c>
      <c r="C45" s="37"/>
      <c r="D45" s="36" t="s">
        <v>35</v>
      </c>
      <c r="E45" s="36" t="s">
        <v>34</v>
      </c>
      <c r="F45" s="35" t="s">
        <v>33</v>
      </c>
      <c r="H45" s="177" t="s">
        <v>350</v>
      </c>
      <c r="I45" s="177"/>
      <c r="J45" s="177">
        <v>-10</v>
      </c>
      <c r="K45" s="177" t="s">
        <v>352</v>
      </c>
      <c r="L45" s="177"/>
      <c r="T45" t="s">
        <v>32</v>
      </c>
    </row>
    <row r="46" spans="2:40" x14ac:dyDescent="0.25">
      <c r="B46" s="5" t="s">
        <v>31</v>
      </c>
      <c r="C46" s="34"/>
      <c r="D46" s="26"/>
      <c r="E46" s="26"/>
      <c r="F46" s="33" t="str">
        <f>MotorData1!B6</f>
        <v>W00000</v>
      </c>
      <c r="H46" s="177" t="s">
        <v>351</v>
      </c>
      <c r="I46" s="177"/>
      <c r="J46" s="177">
        <v>-10</v>
      </c>
      <c r="K46" s="177" t="s">
        <v>352</v>
      </c>
      <c r="L46" s="177"/>
    </row>
    <row r="47" spans="2:40" ht="13.8" thickBot="1" x14ac:dyDescent="0.3">
      <c r="B47" s="3" t="s">
        <v>30</v>
      </c>
      <c r="C47" s="32">
        <v>8</v>
      </c>
      <c r="D47" s="24" t="s">
        <v>29</v>
      </c>
      <c r="E47" s="24"/>
      <c r="F47" s="31" t="s">
        <v>28</v>
      </c>
      <c r="H47" s="177"/>
      <c r="I47" s="177"/>
      <c r="J47" s="177"/>
      <c r="K47" s="177"/>
      <c r="L47" s="177"/>
    </row>
    <row r="48" spans="2:40" x14ac:dyDescent="0.25">
      <c r="B48" s="30" t="s">
        <v>27</v>
      </c>
      <c r="C48" s="29"/>
      <c r="D48" s="28" t="s">
        <v>26</v>
      </c>
      <c r="E48" s="28"/>
      <c r="F48" s="168" t="str">
        <f>DriveData1!B6</f>
        <v>300.0</v>
      </c>
    </row>
    <row r="49" spans="2:9" x14ac:dyDescent="0.25">
      <c r="B49" s="5" t="s">
        <v>25</v>
      </c>
      <c r="C49" s="27"/>
      <c r="D49" s="26" t="s">
        <v>24</v>
      </c>
      <c r="E49" s="26"/>
      <c r="F49" s="162">
        <f>IF(DriveData1!B10=0,"",DriveData1!B10/SQRT(2))</f>
        <v>0</v>
      </c>
    </row>
    <row r="50" spans="2:9" x14ac:dyDescent="0.25">
      <c r="B50" s="5" t="s">
        <v>23</v>
      </c>
      <c r="C50" s="27"/>
      <c r="D50" s="26" t="s">
        <v>22</v>
      </c>
      <c r="E50" s="26"/>
      <c r="F50" s="162">
        <f>IF(DriveData1!B11=0,"",DriveData1!B11/SQRT(2))</f>
        <v>0</v>
      </c>
    </row>
    <row r="51" spans="2:9" ht="13.8" thickBot="1" x14ac:dyDescent="0.3">
      <c r="B51" s="3" t="s">
        <v>21</v>
      </c>
      <c r="C51" s="25"/>
      <c r="D51" s="24" t="s">
        <v>20</v>
      </c>
      <c r="E51" s="24"/>
      <c r="F51" s="31">
        <f>IF(DriveData1!B9=0,"",DriveData1!B9/1000)</f>
        <v>0</v>
      </c>
    </row>
    <row r="52" spans="2:9" x14ac:dyDescent="0.25">
      <c r="B52" s="21"/>
      <c r="C52" s="22"/>
      <c r="D52" s="21"/>
      <c r="E52" s="21"/>
      <c r="F52" s="21"/>
    </row>
    <row r="54" spans="2:9" x14ac:dyDescent="0.25">
      <c r="B54" s="14" t="s">
        <v>19</v>
      </c>
    </row>
    <row r="55" spans="2:9" ht="99.75" customHeight="1" x14ac:dyDescent="0.25">
      <c r="B55" s="178" t="str">
        <f>MotorData1!B43</f>
        <v xml:space="preserve"> Information - Magnetic Saturation model is enabled for this simulation_x000D_
 Information - A non-standard method of cooling the motor is in use for this simulation_x000D_
 Warning - Motor is water cooled and ambient temperature is below 50_x000D_
 Warning - Open circuit motor voltage at maximum speed is greater than amplifier bus voltage_x000D_
 Information - Motor Circuit model with Simply losses is Enabled_x000D_
 Information - Simulation Check Okay._x000D_
</v>
      </c>
      <c r="C55" s="178"/>
      <c r="D55" s="178"/>
      <c r="E55" s="178"/>
      <c r="F55" s="178"/>
      <c r="G55" s="13"/>
      <c r="H55" s="13"/>
      <c r="I55" s="13"/>
    </row>
    <row r="58" spans="2:9" x14ac:dyDescent="0.25">
      <c r="B58" s="20" t="s">
        <v>18</v>
      </c>
      <c r="C58" s="16"/>
      <c r="D58" s="15"/>
    </row>
    <row r="59" spans="2:9" x14ac:dyDescent="0.25">
      <c r="B59" s="19" t="str">
        <f>MotorData1!D47</f>
        <v>Kevin Holloway</v>
      </c>
      <c r="C59" s="16"/>
      <c r="D59" s="15"/>
    </row>
    <row r="60" spans="2:9" x14ac:dyDescent="0.25">
      <c r="B60" s="18" t="str">
        <f>MotorData1!D45</f>
        <v>October 24, 2016</v>
      </c>
      <c r="C60" s="16"/>
      <c r="D60" s="15"/>
    </row>
    <row r="61" spans="2:9" x14ac:dyDescent="0.25">
      <c r="B61" s="17" t="str">
        <f>MotorData1!D46</f>
        <v>17:21:45</v>
      </c>
      <c r="C61" s="16"/>
      <c r="D61" s="15"/>
    </row>
    <row r="63" spans="2:9" x14ac:dyDescent="0.25">
      <c r="B63" s="14" t="s">
        <v>17</v>
      </c>
    </row>
    <row r="64" spans="2:9" ht="95.25" customHeight="1" x14ac:dyDescent="0.25">
      <c r="B64" s="178">
        <f>MotorData1!D48</f>
        <v>0</v>
      </c>
      <c r="C64" s="178"/>
      <c r="D64" s="178"/>
      <c r="E64" s="178"/>
      <c r="F64" s="178"/>
    </row>
  </sheetData>
  <mergeCells count="6">
    <mergeCell ref="B64:F64"/>
    <mergeCell ref="B55:F55"/>
    <mergeCell ref="C5:F5"/>
    <mergeCell ref="B2:F2"/>
    <mergeCell ref="C3:F3"/>
    <mergeCell ref="C4:F4"/>
  </mergeCell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56321" r:id="rId4" name="cmdRPM">
          <controlPr defaultSize="0" autoLine="0" r:id="rId5">
            <anchor moveWithCells="1">
              <from>
                <xdr:col>7</xdr:col>
                <xdr:colOff>579120</xdr:colOff>
                <xdr:row>34</xdr:row>
                <xdr:rowOff>114300</xdr:rowOff>
              </from>
              <to>
                <xdr:col>8</xdr:col>
                <xdr:colOff>594360</xdr:colOff>
                <xdr:row>36</xdr:row>
                <xdr:rowOff>129540</xdr:rowOff>
              </to>
            </anchor>
          </controlPr>
        </control>
      </mc:Choice>
      <mc:Fallback>
        <control shapeId="56321" r:id="rId4" name="cmdRPM"/>
      </mc:Fallback>
    </mc:AlternateContent>
    <mc:AlternateContent xmlns:mc="http://schemas.openxmlformats.org/markup-compatibility/2006">
      <mc:Choice Requires="x14">
        <control shapeId="56322" r:id="rId6" name="cmdRPS">
          <controlPr defaultSize="0" autoLine="0" r:id="rId7">
            <anchor moveWithCells="1">
              <from>
                <xdr:col>9</xdr:col>
                <xdr:colOff>60960</xdr:colOff>
                <xdr:row>34</xdr:row>
                <xdr:rowOff>114300</xdr:rowOff>
              </from>
              <to>
                <xdr:col>10</xdr:col>
                <xdr:colOff>76200</xdr:colOff>
                <xdr:row>36</xdr:row>
                <xdr:rowOff>121920</xdr:rowOff>
              </to>
            </anchor>
          </controlPr>
        </control>
      </mc:Choice>
      <mc:Fallback>
        <control shapeId="56322" r:id="rId6" name="cmdRPS"/>
      </mc:Fallback>
    </mc:AlternateContent>
    <mc:AlternateContent xmlns:mc="http://schemas.openxmlformats.org/markup-compatibility/2006">
      <mc:Choice Requires="x14">
        <control shapeId="56323" r:id="rId8" name="cmdRadps">
          <controlPr defaultSize="0" autoLine="0" r:id="rId9">
            <anchor moveWithCells="1">
              <from>
                <xdr:col>10</xdr:col>
                <xdr:colOff>152400</xdr:colOff>
                <xdr:row>34</xdr:row>
                <xdr:rowOff>137160</xdr:rowOff>
              </from>
              <to>
                <xdr:col>11</xdr:col>
                <xdr:colOff>167640</xdr:colOff>
                <xdr:row>36</xdr:row>
                <xdr:rowOff>121920</xdr:rowOff>
              </to>
            </anchor>
          </controlPr>
        </control>
      </mc:Choice>
      <mc:Fallback>
        <control shapeId="56323" r:id="rId8" name="cmdRadps"/>
      </mc:Fallback>
    </mc:AlternateContent>
    <mc:AlternateContent xmlns:mc="http://schemas.openxmlformats.org/markup-compatibility/2006">
      <mc:Choice Requires="x14">
        <control shapeId="56324" r:id="rId10" name="cmdOzIn">
          <controlPr defaultSize="0" autoLine="0" r:id="rId11">
            <anchor moveWithCells="1">
              <from>
                <xdr:col>7</xdr:col>
                <xdr:colOff>259080</xdr:colOff>
                <xdr:row>32</xdr:row>
                <xdr:rowOff>68580</xdr:rowOff>
              </from>
              <to>
                <xdr:col>8</xdr:col>
                <xdr:colOff>274320</xdr:colOff>
                <xdr:row>34</xdr:row>
                <xdr:rowOff>45720</xdr:rowOff>
              </to>
            </anchor>
          </controlPr>
        </control>
      </mc:Choice>
      <mc:Fallback>
        <control shapeId="56324" r:id="rId10" name="cmdOzIn"/>
      </mc:Fallback>
    </mc:AlternateContent>
    <mc:AlternateContent xmlns:mc="http://schemas.openxmlformats.org/markup-compatibility/2006">
      <mc:Choice Requires="x14">
        <control shapeId="56325" r:id="rId12" name="cmdInLbs">
          <controlPr defaultSize="0" autoLine="0" r:id="rId13">
            <anchor moveWithCells="1">
              <from>
                <xdr:col>8</xdr:col>
                <xdr:colOff>350520</xdr:colOff>
                <xdr:row>32</xdr:row>
                <xdr:rowOff>68580</xdr:rowOff>
              </from>
              <to>
                <xdr:col>9</xdr:col>
                <xdr:colOff>365760</xdr:colOff>
                <xdr:row>34</xdr:row>
                <xdr:rowOff>45720</xdr:rowOff>
              </to>
            </anchor>
          </controlPr>
        </control>
      </mc:Choice>
      <mc:Fallback>
        <control shapeId="56325" r:id="rId12" name="cmdInLbs"/>
      </mc:Fallback>
    </mc:AlternateContent>
    <mc:AlternateContent xmlns:mc="http://schemas.openxmlformats.org/markup-compatibility/2006">
      <mc:Choice Requires="x14">
        <control shapeId="56326" r:id="rId14" name="cmdNm">
          <controlPr defaultSize="0" autoLine="0" r:id="rId15">
            <anchor moveWithCells="1">
              <from>
                <xdr:col>10</xdr:col>
                <xdr:colOff>563880</xdr:colOff>
                <xdr:row>32</xdr:row>
                <xdr:rowOff>68580</xdr:rowOff>
              </from>
              <to>
                <xdr:col>11</xdr:col>
                <xdr:colOff>579120</xdr:colOff>
                <xdr:row>34</xdr:row>
                <xdr:rowOff>45720</xdr:rowOff>
              </to>
            </anchor>
          </controlPr>
        </control>
      </mc:Choice>
      <mc:Fallback>
        <control shapeId="56326" r:id="rId14" name="cmdNm"/>
      </mc:Fallback>
    </mc:AlternateContent>
    <mc:AlternateContent xmlns:mc="http://schemas.openxmlformats.org/markup-compatibility/2006">
      <mc:Choice Requires="x14">
        <control shapeId="56327" r:id="rId16" name="cmdftLbs">
          <controlPr defaultSize="0" autoLine="0" r:id="rId17">
            <anchor moveWithCells="1">
              <from>
                <xdr:col>9</xdr:col>
                <xdr:colOff>457200</xdr:colOff>
                <xdr:row>32</xdr:row>
                <xdr:rowOff>68580</xdr:rowOff>
              </from>
              <to>
                <xdr:col>10</xdr:col>
                <xdr:colOff>472440</xdr:colOff>
                <xdr:row>34</xdr:row>
                <xdr:rowOff>45720</xdr:rowOff>
              </to>
            </anchor>
          </controlPr>
        </control>
      </mc:Choice>
      <mc:Fallback>
        <control shapeId="56327" r:id="rId16" name="cmdftLbs"/>
      </mc:Fallback>
    </mc:AlternateContent>
    <mc:AlternateContent xmlns:mc="http://schemas.openxmlformats.org/markup-compatibility/2006">
      <mc:Choice Requires="x14">
        <control shapeId="56328" r:id="rId18" name="cmdPeakofSine">
          <controlPr defaultSize="0" autoLine="0" r:id="rId19">
            <anchor moveWithCells="1">
              <from>
                <xdr:col>13</xdr:col>
                <xdr:colOff>76200</xdr:colOff>
                <xdr:row>32</xdr:row>
                <xdr:rowOff>83820</xdr:rowOff>
              </from>
              <to>
                <xdr:col>14</xdr:col>
                <xdr:colOff>320040</xdr:colOff>
                <xdr:row>34</xdr:row>
                <xdr:rowOff>22860</xdr:rowOff>
              </to>
            </anchor>
          </controlPr>
        </control>
      </mc:Choice>
      <mc:Fallback>
        <control shapeId="56328" r:id="rId18" name="cmdPeakofSine"/>
      </mc:Fallback>
    </mc:AlternateContent>
    <mc:AlternateContent xmlns:mc="http://schemas.openxmlformats.org/markup-compatibility/2006">
      <mc:Choice Requires="x14">
        <control shapeId="56329" r:id="rId20" name="cmdAmpsRMS">
          <controlPr defaultSize="0" autoLine="0" r:id="rId21">
            <anchor moveWithCells="1">
              <from>
                <xdr:col>14</xdr:col>
                <xdr:colOff>411480</xdr:colOff>
                <xdr:row>32</xdr:row>
                <xdr:rowOff>76200</xdr:rowOff>
              </from>
              <to>
                <xdr:col>15</xdr:col>
                <xdr:colOff>594360</xdr:colOff>
                <xdr:row>34</xdr:row>
                <xdr:rowOff>30480</xdr:rowOff>
              </to>
            </anchor>
          </controlPr>
        </control>
      </mc:Choice>
      <mc:Fallback>
        <control shapeId="56329" r:id="rId20" name="cmdAmpsRMS"/>
      </mc:Fallback>
    </mc:AlternateContent>
    <mc:AlternateContent xmlns:mc="http://schemas.openxmlformats.org/markup-compatibility/2006">
      <mc:Choice Requires="x14">
        <control shapeId="56330" r:id="rId22" name="cmdSixState">
          <controlPr defaultSize="0" autoLine="0" r:id="rId23">
            <anchor moveWithCells="1">
              <from>
                <xdr:col>16</xdr:col>
                <xdr:colOff>60960</xdr:colOff>
                <xdr:row>32</xdr:row>
                <xdr:rowOff>76200</xdr:rowOff>
              </from>
              <to>
                <xdr:col>17</xdr:col>
                <xdr:colOff>167640</xdr:colOff>
                <xdr:row>34</xdr:row>
                <xdr:rowOff>30480</xdr:rowOff>
              </to>
            </anchor>
          </controlPr>
        </control>
      </mc:Choice>
      <mc:Fallback>
        <control shapeId="56330" r:id="rId22" name="cmdSixState"/>
      </mc:Fallback>
    </mc:AlternateContent>
    <mc:AlternateContent xmlns:mc="http://schemas.openxmlformats.org/markup-compatibility/2006">
      <mc:Choice Requires="x14">
        <control shapeId="56331" r:id="rId24" name="cmdWatts">
          <controlPr defaultSize="0" autoLine="0" r:id="rId25">
            <anchor moveWithCells="1">
              <from>
                <xdr:col>19</xdr:col>
                <xdr:colOff>228600</xdr:colOff>
                <xdr:row>32</xdr:row>
                <xdr:rowOff>45720</xdr:rowOff>
              </from>
              <to>
                <xdr:col>20</xdr:col>
                <xdr:colOff>297180</xdr:colOff>
                <xdr:row>33</xdr:row>
                <xdr:rowOff>144780</xdr:rowOff>
              </to>
            </anchor>
          </controlPr>
        </control>
      </mc:Choice>
      <mc:Fallback>
        <control shapeId="56331" r:id="rId24" name="cmdWatts"/>
      </mc:Fallback>
    </mc:AlternateContent>
    <mc:AlternateContent xmlns:mc="http://schemas.openxmlformats.org/markup-compatibility/2006">
      <mc:Choice Requires="x14">
        <control shapeId="56332" r:id="rId26" name="cmdKiloWatts">
          <controlPr defaultSize="0" autoLine="0" r:id="rId27">
            <anchor moveWithCells="1">
              <from>
                <xdr:col>20</xdr:col>
                <xdr:colOff>464820</xdr:colOff>
                <xdr:row>32</xdr:row>
                <xdr:rowOff>45720</xdr:rowOff>
              </from>
              <to>
                <xdr:col>21</xdr:col>
                <xdr:colOff>556260</xdr:colOff>
                <xdr:row>33</xdr:row>
                <xdr:rowOff>152400</xdr:rowOff>
              </to>
            </anchor>
          </controlPr>
        </control>
      </mc:Choice>
      <mc:Fallback>
        <control shapeId="56332" r:id="rId26" name="cmdKiloWatts"/>
      </mc:Fallback>
    </mc:AlternateContent>
    <mc:AlternateContent xmlns:mc="http://schemas.openxmlformats.org/markup-compatibility/2006">
      <mc:Choice Requires="x14">
        <control shapeId="56333" r:id="rId28" name="cmdHP">
          <controlPr defaultSize="0" autoLine="0" r:id="rId29">
            <anchor moveWithCells="1">
              <from>
                <xdr:col>22</xdr:col>
                <xdr:colOff>121920</xdr:colOff>
                <xdr:row>32</xdr:row>
                <xdr:rowOff>68580</xdr:rowOff>
              </from>
              <to>
                <xdr:col>23</xdr:col>
                <xdr:colOff>175260</xdr:colOff>
                <xdr:row>33</xdr:row>
                <xdr:rowOff>160020</xdr:rowOff>
              </to>
            </anchor>
          </controlPr>
        </control>
      </mc:Choice>
      <mc:Fallback>
        <control shapeId="56333" r:id="rId28" name="cmdHP"/>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I61"/>
  <sheetViews>
    <sheetView workbookViewId="0">
      <selection activeCell="B27" sqref="B27:C27"/>
    </sheetView>
  </sheetViews>
  <sheetFormatPr defaultRowHeight="13.2" x14ac:dyDescent="0.25"/>
  <cols>
    <col min="2" max="2" width="15.6640625" customWidth="1"/>
    <col min="3" max="3" width="16.5546875" customWidth="1"/>
    <col min="4" max="4" width="59.33203125" customWidth="1"/>
    <col min="6" max="6" width="11.6640625" customWidth="1"/>
    <col min="7" max="7" width="21.5546875" customWidth="1"/>
    <col min="8" max="8" width="46.88671875" customWidth="1"/>
  </cols>
  <sheetData>
    <row r="1" spans="2:8" ht="17.399999999999999" x14ac:dyDescent="0.3">
      <c r="B1" s="79" t="s">
        <v>234</v>
      </c>
      <c r="F1" s="79" t="s">
        <v>233</v>
      </c>
    </row>
    <row r="2" spans="2:8" ht="12.75" customHeight="1" x14ac:dyDescent="0.3">
      <c r="B2" s="79"/>
    </row>
    <row r="3" spans="2:8" ht="13.8" thickBot="1" x14ac:dyDescent="0.3"/>
    <row r="4" spans="2:8" ht="13.8" thickBot="1" x14ac:dyDescent="0.3">
      <c r="B4" s="78" t="s">
        <v>142</v>
      </c>
      <c r="C4" s="78" t="s">
        <v>143</v>
      </c>
      <c r="D4" s="78" t="s">
        <v>232</v>
      </c>
      <c r="F4" s="77" t="s">
        <v>142</v>
      </c>
      <c r="G4" s="76" t="s">
        <v>231</v>
      </c>
      <c r="H4" s="75" t="s">
        <v>146</v>
      </c>
    </row>
    <row r="5" spans="2:8" ht="13.8" thickBot="1" x14ac:dyDescent="0.3">
      <c r="B5" s="70" t="s">
        <v>359</v>
      </c>
      <c r="C5" s="69"/>
      <c r="D5" s="1" t="s">
        <v>230</v>
      </c>
      <c r="F5" s="74" t="s">
        <v>229</v>
      </c>
      <c r="G5" s="73"/>
      <c r="H5" s="72"/>
    </row>
    <row r="6" spans="2:8" x14ac:dyDescent="0.25">
      <c r="B6" s="71" t="s">
        <v>320</v>
      </c>
      <c r="C6" s="54"/>
      <c r="D6" s="64" t="s">
        <v>31</v>
      </c>
      <c r="F6" s="70" t="s">
        <v>393</v>
      </c>
      <c r="G6" s="69" t="s">
        <v>183</v>
      </c>
      <c r="H6" s="1" t="s">
        <v>228</v>
      </c>
    </row>
    <row r="7" spans="2:8" x14ac:dyDescent="0.25">
      <c r="B7" s="66" t="s">
        <v>360</v>
      </c>
      <c r="C7" s="54" t="s">
        <v>227</v>
      </c>
      <c r="D7" s="64" t="s">
        <v>226</v>
      </c>
      <c r="F7" s="2" t="s">
        <v>394</v>
      </c>
      <c r="G7" s="54" t="s">
        <v>199</v>
      </c>
      <c r="H7" s="64" t="s">
        <v>225</v>
      </c>
    </row>
    <row r="8" spans="2:8" x14ac:dyDescent="0.25">
      <c r="B8" s="2" t="s">
        <v>361</v>
      </c>
      <c r="C8" s="54" t="s">
        <v>224</v>
      </c>
      <c r="D8" s="64" t="s">
        <v>223</v>
      </c>
      <c r="F8" s="2" t="s">
        <v>359</v>
      </c>
      <c r="G8" s="54" t="s">
        <v>222</v>
      </c>
      <c r="H8" s="64" t="s">
        <v>221</v>
      </c>
    </row>
    <row r="9" spans="2:8" x14ac:dyDescent="0.25">
      <c r="B9" s="2" t="s">
        <v>362</v>
      </c>
      <c r="C9" s="54" t="s">
        <v>219</v>
      </c>
      <c r="D9" s="64" t="s">
        <v>321</v>
      </c>
      <c r="F9" s="2" t="s">
        <v>395</v>
      </c>
      <c r="G9" s="54" t="s">
        <v>183</v>
      </c>
      <c r="H9" s="64" t="s">
        <v>220</v>
      </c>
    </row>
    <row r="10" spans="2:8" x14ac:dyDescent="0.25">
      <c r="B10" s="2" t="s">
        <v>363</v>
      </c>
      <c r="C10" s="54" t="s">
        <v>219</v>
      </c>
      <c r="D10" s="64" t="s">
        <v>218</v>
      </c>
      <c r="F10" s="2" t="s">
        <v>339</v>
      </c>
      <c r="G10" s="54" t="s">
        <v>183</v>
      </c>
      <c r="H10" s="64" t="s">
        <v>217</v>
      </c>
    </row>
    <row r="11" spans="2:8" x14ac:dyDescent="0.25">
      <c r="B11" s="2" t="s">
        <v>364</v>
      </c>
      <c r="C11" s="54" t="s">
        <v>177</v>
      </c>
      <c r="D11" s="64" t="s">
        <v>216</v>
      </c>
      <c r="F11" s="2" t="s">
        <v>340</v>
      </c>
      <c r="G11" s="54" t="s">
        <v>183</v>
      </c>
      <c r="H11" s="64" t="s">
        <v>215</v>
      </c>
    </row>
    <row r="12" spans="2:8" x14ac:dyDescent="0.25">
      <c r="B12" s="2" t="s">
        <v>322</v>
      </c>
      <c r="C12" s="54" t="s">
        <v>214</v>
      </c>
      <c r="D12" s="64" t="s">
        <v>213</v>
      </c>
      <c r="F12" s="2" t="s">
        <v>396</v>
      </c>
      <c r="G12" s="54" t="s">
        <v>183</v>
      </c>
      <c r="H12" s="64" t="s">
        <v>212</v>
      </c>
    </row>
    <row r="13" spans="2:8" x14ac:dyDescent="0.25">
      <c r="B13" s="2" t="s">
        <v>365</v>
      </c>
      <c r="C13" s="54" t="s">
        <v>209</v>
      </c>
      <c r="D13" s="64" t="s">
        <v>211</v>
      </c>
      <c r="F13" s="2" t="s">
        <v>397</v>
      </c>
      <c r="G13" s="54" t="s">
        <v>183</v>
      </c>
      <c r="H13" s="64" t="s">
        <v>210</v>
      </c>
    </row>
    <row r="14" spans="2:8" x14ac:dyDescent="0.25">
      <c r="B14" s="66" t="s">
        <v>366</v>
      </c>
      <c r="C14" s="54" t="s">
        <v>209</v>
      </c>
      <c r="D14" s="64" t="s">
        <v>208</v>
      </c>
      <c r="F14" s="2" t="s">
        <v>398</v>
      </c>
      <c r="G14" s="54" t="s">
        <v>183</v>
      </c>
      <c r="H14" s="64" t="s">
        <v>207</v>
      </c>
    </row>
    <row r="15" spans="2:8" ht="13.8" thickBot="1" x14ac:dyDescent="0.3">
      <c r="B15" s="2" t="s">
        <v>367</v>
      </c>
      <c r="C15" s="54" t="s">
        <v>206</v>
      </c>
      <c r="D15" s="64" t="s">
        <v>205</v>
      </c>
      <c r="F15" s="10" t="s">
        <v>399</v>
      </c>
      <c r="G15" s="68" t="s">
        <v>183</v>
      </c>
      <c r="H15" s="67" t="s">
        <v>204</v>
      </c>
    </row>
    <row r="16" spans="2:8" x14ac:dyDescent="0.25">
      <c r="B16" s="2" t="s">
        <v>368</v>
      </c>
      <c r="C16" s="54" t="s">
        <v>203</v>
      </c>
      <c r="D16" s="64" t="s">
        <v>202</v>
      </c>
      <c r="F16" s="70" t="s">
        <v>400</v>
      </c>
      <c r="G16" s="69" t="s">
        <v>183</v>
      </c>
      <c r="H16" s="1" t="s">
        <v>201</v>
      </c>
    </row>
    <row r="17" spans="2:9" x14ac:dyDescent="0.25">
      <c r="B17" s="2" t="s">
        <v>323</v>
      </c>
      <c r="C17" s="54" t="s">
        <v>194</v>
      </c>
      <c r="D17" s="64" t="s">
        <v>200</v>
      </c>
      <c r="F17" s="2" t="s">
        <v>401</v>
      </c>
      <c r="G17" s="54" t="s">
        <v>199</v>
      </c>
      <c r="H17" s="64" t="s">
        <v>198</v>
      </c>
    </row>
    <row r="18" spans="2:9" x14ac:dyDescent="0.25">
      <c r="B18" s="2" t="s">
        <v>324</v>
      </c>
      <c r="C18" s="54" t="s">
        <v>194</v>
      </c>
      <c r="D18" s="64" t="s">
        <v>197</v>
      </c>
      <c r="F18" s="2" t="s">
        <v>402</v>
      </c>
      <c r="G18" s="54" t="s">
        <v>196</v>
      </c>
      <c r="H18" s="64" t="s">
        <v>195</v>
      </c>
    </row>
    <row r="19" spans="2:9" x14ac:dyDescent="0.25">
      <c r="B19" s="2" t="s">
        <v>369</v>
      </c>
      <c r="C19" s="54" t="s">
        <v>194</v>
      </c>
      <c r="D19" s="64" t="s">
        <v>193</v>
      </c>
      <c r="F19" s="2" t="s">
        <v>339</v>
      </c>
      <c r="G19" s="54" t="s">
        <v>183</v>
      </c>
      <c r="H19" s="64" t="s">
        <v>192</v>
      </c>
    </row>
    <row r="20" spans="2:9" x14ac:dyDescent="0.25">
      <c r="B20" s="2" t="s">
        <v>370</v>
      </c>
      <c r="C20" s="54" t="s">
        <v>172</v>
      </c>
      <c r="D20" s="64" t="s">
        <v>325</v>
      </c>
      <c r="F20" s="2" t="s">
        <v>340</v>
      </c>
      <c r="G20" s="54" t="s">
        <v>183</v>
      </c>
      <c r="H20" s="64" t="s">
        <v>191</v>
      </c>
    </row>
    <row r="21" spans="2:9" x14ac:dyDescent="0.25">
      <c r="B21" s="2" t="s">
        <v>326</v>
      </c>
      <c r="C21" s="54" t="s">
        <v>183</v>
      </c>
      <c r="D21" s="64" t="s">
        <v>190</v>
      </c>
      <c r="F21" s="2" t="s">
        <v>396</v>
      </c>
      <c r="G21" s="54" t="s">
        <v>183</v>
      </c>
      <c r="H21" s="64" t="s">
        <v>189</v>
      </c>
    </row>
    <row r="22" spans="2:9" x14ac:dyDescent="0.25">
      <c r="B22" s="2" t="s">
        <v>327</v>
      </c>
      <c r="C22" s="54" t="s">
        <v>183</v>
      </c>
      <c r="D22" s="64" t="s">
        <v>188</v>
      </c>
      <c r="F22" s="2" t="s">
        <v>397</v>
      </c>
      <c r="G22" s="54" t="s">
        <v>183</v>
      </c>
      <c r="H22" s="64" t="s">
        <v>187</v>
      </c>
    </row>
    <row r="23" spans="2:9" x14ac:dyDescent="0.25">
      <c r="B23" s="2" t="s">
        <v>341</v>
      </c>
      <c r="C23" s="54" t="s">
        <v>183</v>
      </c>
      <c r="D23" s="64" t="s">
        <v>186</v>
      </c>
      <c r="F23" s="2" t="s">
        <v>398</v>
      </c>
      <c r="G23" s="54" t="s">
        <v>183</v>
      </c>
      <c r="H23" s="64" t="s">
        <v>185</v>
      </c>
    </row>
    <row r="24" spans="2:9" ht="13.8" thickBot="1" x14ac:dyDescent="0.3">
      <c r="B24" s="2" t="s">
        <v>328</v>
      </c>
      <c r="C24" s="54" t="s">
        <v>170</v>
      </c>
      <c r="D24" s="64" t="s">
        <v>184</v>
      </c>
      <c r="F24" s="10" t="s">
        <v>399</v>
      </c>
      <c r="G24" s="68" t="s">
        <v>183</v>
      </c>
      <c r="H24" s="67" t="s">
        <v>182</v>
      </c>
    </row>
    <row r="25" spans="2:9" x14ac:dyDescent="0.25">
      <c r="B25" s="2" t="s">
        <v>371</v>
      </c>
      <c r="C25" s="54" t="s">
        <v>161</v>
      </c>
      <c r="D25" s="64" t="s">
        <v>181</v>
      </c>
      <c r="F25" s="56"/>
      <c r="G25" s="56"/>
      <c r="H25" s="56"/>
    </row>
    <row r="26" spans="2:9" x14ac:dyDescent="0.25">
      <c r="B26" s="2" t="s">
        <v>372</v>
      </c>
      <c r="C26" s="54" t="s">
        <v>161</v>
      </c>
      <c r="D26" s="64" t="s">
        <v>180</v>
      </c>
      <c r="F26" s="56"/>
      <c r="G26" s="56"/>
      <c r="H26" s="56"/>
    </row>
    <row r="27" spans="2:9" x14ac:dyDescent="0.25">
      <c r="B27" s="191" t="s">
        <v>329</v>
      </c>
      <c r="C27" s="192"/>
      <c r="D27" s="64" t="s">
        <v>147</v>
      </c>
      <c r="F27" s="147" t="s">
        <v>291</v>
      </c>
      <c r="G27" s="56"/>
      <c r="H27" s="56"/>
    </row>
    <row r="28" spans="2:9" ht="13.8" thickBot="1" x14ac:dyDescent="0.3">
      <c r="B28" s="2" t="s">
        <v>373</v>
      </c>
      <c r="C28" s="54" t="s">
        <v>178</v>
      </c>
      <c r="D28" s="64" t="s">
        <v>179</v>
      </c>
      <c r="G28" s="147"/>
      <c r="H28" s="147"/>
      <c r="I28" s="14"/>
    </row>
    <row r="29" spans="2:9" x14ac:dyDescent="0.25">
      <c r="B29" s="2" t="s">
        <v>328</v>
      </c>
      <c r="C29" s="54" t="s">
        <v>178</v>
      </c>
      <c r="D29" s="64" t="s">
        <v>330</v>
      </c>
      <c r="F29" s="149">
        <f>4*B8/(B9+B10)/B21</f>
        <v>37.714825306893296</v>
      </c>
      <c r="G29" s="69" t="s">
        <v>293</v>
      </c>
      <c r="H29" s="118" t="s">
        <v>292</v>
      </c>
    </row>
    <row r="30" spans="2:9" x14ac:dyDescent="0.25">
      <c r="B30" s="2" t="s">
        <v>328</v>
      </c>
      <c r="C30" s="54" t="s">
        <v>177</v>
      </c>
      <c r="D30" s="64" t="s">
        <v>331</v>
      </c>
      <c r="F30" s="150">
        <f>30*F29/PI()</f>
        <v>360.15005252636257</v>
      </c>
      <c r="G30" s="54" t="s">
        <v>172</v>
      </c>
      <c r="H30" s="41" t="s">
        <v>292</v>
      </c>
    </row>
    <row r="31" spans="2:9" x14ac:dyDescent="0.25">
      <c r="B31" s="2" t="s">
        <v>374</v>
      </c>
      <c r="C31" s="54" t="s">
        <v>171</v>
      </c>
      <c r="D31" s="64" t="s">
        <v>176</v>
      </c>
      <c r="F31" s="66">
        <f>4.61*B7/(B9+B10)/B21</f>
        <v>215.26392823418317</v>
      </c>
      <c r="G31" s="148" t="s">
        <v>274</v>
      </c>
      <c r="H31" s="151" t="s">
        <v>294</v>
      </c>
    </row>
    <row r="32" spans="2:9" x14ac:dyDescent="0.25">
      <c r="B32" s="2" t="s">
        <v>375</v>
      </c>
      <c r="C32" s="54" t="s">
        <v>171</v>
      </c>
      <c r="D32" s="64" t="s">
        <v>175</v>
      </c>
      <c r="F32" s="66">
        <f>F31/SQRT(2)</f>
        <v>152.21458339924521</v>
      </c>
      <c r="G32" s="148" t="s">
        <v>252</v>
      </c>
      <c r="H32" s="151" t="s">
        <v>294</v>
      </c>
    </row>
    <row r="33" spans="2:8" x14ac:dyDescent="0.25">
      <c r="B33" s="2" t="s">
        <v>376</v>
      </c>
      <c r="C33" s="54" t="s">
        <v>173</v>
      </c>
      <c r="D33" s="64" t="s">
        <v>174</v>
      </c>
      <c r="F33" s="152">
        <f>B31/141.6/B33</f>
        <v>0.19644493738887814</v>
      </c>
      <c r="G33" s="148" t="s">
        <v>295</v>
      </c>
      <c r="H33" s="151" t="s">
        <v>107</v>
      </c>
    </row>
    <row r="34" spans="2:8" x14ac:dyDescent="0.25">
      <c r="B34" s="2" t="s">
        <v>377</v>
      </c>
      <c r="C34" s="54" t="s">
        <v>173</v>
      </c>
      <c r="D34" s="64" t="s">
        <v>132</v>
      </c>
      <c r="F34" s="66">
        <f>2*F33*B7/((B9+B10)*B21)</f>
        <v>18.345990847743199</v>
      </c>
      <c r="G34" s="148" t="s">
        <v>247</v>
      </c>
      <c r="H34" s="151" t="s">
        <v>296</v>
      </c>
    </row>
    <row r="35" spans="2:8" ht="13.8" thickBot="1" x14ac:dyDescent="0.3">
      <c r="B35" s="2" t="s">
        <v>378</v>
      </c>
      <c r="C35" s="54" t="s">
        <v>172</v>
      </c>
      <c r="D35" s="64" t="s">
        <v>129</v>
      </c>
      <c r="F35" s="80">
        <f>F32/SQRT(2)</f>
        <v>107.63196411709157</v>
      </c>
      <c r="G35" s="68" t="s">
        <v>252</v>
      </c>
      <c r="H35" s="153" t="s">
        <v>297</v>
      </c>
    </row>
    <row r="36" spans="2:8" x14ac:dyDescent="0.25">
      <c r="B36" s="2" t="s">
        <v>379</v>
      </c>
      <c r="C36" s="54" t="s">
        <v>171</v>
      </c>
      <c r="D36" s="64" t="s">
        <v>124</v>
      </c>
    </row>
    <row r="37" spans="2:8" x14ac:dyDescent="0.25">
      <c r="B37" s="2" t="s">
        <v>380</v>
      </c>
      <c r="C37" s="54" t="s">
        <v>170</v>
      </c>
      <c r="D37" s="64" t="s">
        <v>169</v>
      </c>
    </row>
    <row r="38" spans="2:8" x14ac:dyDescent="0.25">
      <c r="B38" s="66" t="s">
        <v>381</v>
      </c>
      <c r="C38" s="54" t="s">
        <v>168</v>
      </c>
      <c r="D38" s="64" t="s">
        <v>167</v>
      </c>
    </row>
    <row r="39" spans="2:8" x14ac:dyDescent="0.25">
      <c r="B39" s="2" t="s">
        <v>382</v>
      </c>
      <c r="C39" s="54" t="s">
        <v>165</v>
      </c>
      <c r="D39" s="64" t="s">
        <v>166</v>
      </c>
    </row>
    <row r="40" spans="2:8" x14ac:dyDescent="0.25">
      <c r="B40" s="2" t="s">
        <v>383</v>
      </c>
      <c r="C40" s="54" t="s">
        <v>165</v>
      </c>
      <c r="D40" s="64" t="s">
        <v>164</v>
      </c>
    </row>
    <row r="41" spans="2:8" x14ac:dyDescent="0.25">
      <c r="B41" s="2" t="s">
        <v>162</v>
      </c>
      <c r="C41" s="54" t="s">
        <v>161</v>
      </c>
      <c r="D41" s="64" t="s">
        <v>163</v>
      </c>
    </row>
    <row r="42" spans="2:8" x14ac:dyDescent="0.25">
      <c r="B42" s="2" t="s">
        <v>162</v>
      </c>
      <c r="C42" s="54" t="s">
        <v>161</v>
      </c>
      <c r="D42" s="64" t="s">
        <v>160</v>
      </c>
    </row>
    <row r="43" spans="2:8" ht="409.6" x14ac:dyDescent="0.25">
      <c r="B43" s="65" t="s">
        <v>384</v>
      </c>
      <c r="C43" s="54" t="s">
        <v>159</v>
      </c>
      <c r="D43" s="64" t="s">
        <v>158</v>
      </c>
    </row>
    <row r="44" spans="2:8" x14ac:dyDescent="0.25">
      <c r="B44" s="54" t="s">
        <v>290</v>
      </c>
      <c r="C44" s="54" t="s">
        <v>157</v>
      </c>
      <c r="D44" s="54" t="s">
        <v>156</v>
      </c>
    </row>
    <row r="45" spans="2:8" x14ac:dyDescent="0.25">
      <c r="B45" s="54" t="s">
        <v>155</v>
      </c>
      <c r="C45" s="54" t="s">
        <v>151</v>
      </c>
      <c r="D45" s="63" t="s">
        <v>385</v>
      </c>
    </row>
    <row r="46" spans="2:8" x14ac:dyDescent="0.25">
      <c r="B46" s="54" t="s">
        <v>154</v>
      </c>
      <c r="C46" s="54" t="s">
        <v>151</v>
      </c>
      <c r="D46" s="62" t="s">
        <v>386</v>
      </c>
    </row>
    <row r="47" spans="2:8" x14ac:dyDescent="0.25">
      <c r="B47" s="54" t="s">
        <v>153</v>
      </c>
      <c r="C47" s="54" t="s">
        <v>151</v>
      </c>
      <c r="D47" s="54" t="s">
        <v>387</v>
      </c>
    </row>
    <row r="48" spans="2:8" x14ac:dyDescent="0.25">
      <c r="B48" s="54" t="s">
        <v>152</v>
      </c>
      <c r="C48" s="54" t="s">
        <v>151</v>
      </c>
      <c r="D48" s="54"/>
    </row>
    <row r="49" spans="2:4" x14ac:dyDescent="0.25">
      <c r="B49" s="54" t="s">
        <v>298</v>
      </c>
      <c r="C49" s="54" t="s">
        <v>252</v>
      </c>
      <c r="D49" s="54" t="s">
        <v>388</v>
      </c>
    </row>
    <row r="50" spans="2:4" x14ac:dyDescent="0.25">
      <c r="B50" s="54" t="s">
        <v>332</v>
      </c>
      <c r="C50" s="54" t="s">
        <v>333</v>
      </c>
      <c r="D50" s="54" t="s">
        <v>389</v>
      </c>
    </row>
    <row r="51" spans="2:4" x14ac:dyDescent="0.25">
      <c r="B51" s="54" t="s">
        <v>334</v>
      </c>
      <c r="C51" s="54" t="s">
        <v>335</v>
      </c>
      <c r="D51" s="54" t="s">
        <v>390</v>
      </c>
    </row>
    <row r="52" spans="2:4" x14ac:dyDescent="0.25">
      <c r="B52" s="54" t="s">
        <v>336</v>
      </c>
      <c r="C52" s="54" t="s">
        <v>337</v>
      </c>
      <c r="D52" s="54" t="s">
        <v>391</v>
      </c>
    </row>
    <row r="53" spans="2:4" x14ac:dyDescent="0.25">
      <c r="B53" s="54" t="s">
        <v>338</v>
      </c>
      <c r="C53" s="54" t="s">
        <v>335</v>
      </c>
      <c r="D53" s="54" t="s">
        <v>392</v>
      </c>
    </row>
    <row r="54" spans="2:4" x14ac:dyDescent="0.25">
      <c r="B54" s="54"/>
      <c r="C54" s="54"/>
      <c r="D54" s="54"/>
    </row>
    <row r="55" spans="2:4" x14ac:dyDescent="0.25">
      <c r="B55" s="54"/>
      <c r="C55" s="54"/>
      <c r="D55" s="54"/>
    </row>
    <row r="56" spans="2:4" x14ac:dyDescent="0.25">
      <c r="B56" s="54"/>
      <c r="C56" s="54"/>
      <c r="D56" s="54"/>
    </row>
    <row r="57" spans="2:4" x14ac:dyDescent="0.25">
      <c r="B57" s="54"/>
      <c r="C57" s="54"/>
      <c r="D57" s="54"/>
    </row>
    <row r="58" spans="2:4" x14ac:dyDescent="0.25">
      <c r="B58" s="54"/>
      <c r="C58" s="54"/>
      <c r="D58" s="54"/>
    </row>
    <row r="59" spans="2:4" x14ac:dyDescent="0.25">
      <c r="B59" s="54"/>
      <c r="C59" s="54"/>
      <c r="D59" s="54"/>
    </row>
    <row r="60" spans="2:4" x14ac:dyDescent="0.25">
      <c r="B60" s="54"/>
      <c r="C60" s="54"/>
      <c r="D60" s="54"/>
    </row>
    <row r="61" spans="2:4" x14ac:dyDescent="0.25">
      <c r="B61" s="54"/>
      <c r="C61" s="54"/>
      <c r="D61" s="54"/>
    </row>
  </sheetData>
  <mergeCells count="1">
    <mergeCell ref="B27:C27"/>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D11"/>
  <sheetViews>
    <sheetView workbookViewId="0">
      <selection activeCell="C20" sqref="C20"/>
    </sheetView>
  </sheetViews>
  <sheetFormatPr defaultRowHeight="13.2" x14ac:dyDescent="0.25"/>
  <cols>
    <col min="2" max="2" width="15.33203125" customWidth="1"/>
    <col min="3" max="3" width="19.33203125" customWidth="1"/>
    <col min="4" max="4" width="53.88671875" customWidth="1"/>
  </cols>
  <sheetData>
    <row r="1" spans="2:4" ht="17.399999999999999" x14ac:dyDescent="0.3">
      <c r="B1" s="79" t="s">
        <v>242</v>
      </c>
    </row>
    <row r="2" spans="2:4" ht="17.399999999999999" x14ac:dyDescent="0.3">
      <c r="B2" s="79"/>
    </row>
    <row r="3" spans="2:4" ht="13.8" thickBot="1" x14ac:dyDescent="0.3"/>
    <row r="4" spans="2:4" ht="13.8" thickBot="1" x14ac:dyDescent="0.3">
      <c r="B4" s="78" t="s">
        <v>142</v>
      </c>
      <c r="C4" s="78" t="s">
        <v>143</v>
      </c>
      <c r="D4" s="78" t="s">
        <v>146</v>
      </c>
    </row>
    <row r="5" spans="2:4" x14ac:dyDescent="0.25">
      <c r="B5" s="70" t="s">
        <v>403</v>
      </c>
      <c r="C5" s="69" t="s">
        <v>241</v>
      </c>
      <c r="D5" s="1" t="s">
        <v>148</v>
      </c>
    </row>
    <row r="6" spans="2:4" x14ac:dyDescent="0.25">
      <c r="B6" s="2" t="s">
        <v>404</v>
      </c>
      <c r="C6" s="54" t="s">
        <v>26</v>
      </c>
      <c r="D6" s="64" t="s">
        <v>27</v>
      </c>
    </row>
    <row r="7" spans="2:4" x14ac:dyDescent="0.25">
      <c r="B7" s="2" t="s">
        <v>322</v>
      </c>
      <c r="C7" s="54" t="s">
        <v>26</v>
      </c>
      <c r="D7" s="64" t="s">
        <v>240</v>
      </c>
    </row>
    <row r="8" spans="2:4" x14ac:dyDescent="0.25">
      <c r="B8" s="2" t="s">
        <v>342</v>
      </c>
      <c r="C8" s="54" t="s">
        <v>26</v>
      </c>
      <c r="D8" s="64" t="s">
        <v>343</v>
      </c>
    </row>
    <row r="9" spans="2:4" x14ac:dyDescent="0.25">
      <c r="B9" s="2" t="s">
        <v>328</v>
      </c>
      <c r="C9" s="54" t="s">
        <v>239</v>
      </c>
      <c r="D9" s="64" t="s">
        <v>238</v>
      </c>
    </row>
    <row r="10" spans="2:4" x14ac:dyDescent="0.25">
      <c r="B10" s="81" t="s">
        <v>328</v>
      </c>
      <c r="C10" s="54" t="s">
        <v>236</v>
      </c>
      <c r="D10" s="64" t="s">
        <v>237</v>
      </c>
    </row>
    <row r="11" spans="2:4" ht="13.8" thickBot="1" x14ac:dyDescent="0.3">
      <c r="B11" s="80" t="s">
        <v>328</v>
      </c>
      <c r="C11" s="68" t="s">
        <v>236</v>
      </c>
      <c r="D11" s="67" t="s">
        <v>235</v>
      </c>
    </row>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BJ188"/>
  <sheetViews>
    <sheetView workbookViewId="0"/>
  </sheetViews>
  <sheetFormatPr defaultRowHeight="13.2" x14ac:dyDescent="0.25"/>
  <cols>
    <col min="2" max="2" width="21.109375" customWidth="1"/>
    <col min="3" max="4" width="20.88671875" customWidth="1"/>
    <col min="5" max="6" width="21.88671875" customWidth="1"/>
    <col min="8" max="8" width="11.33203125" customWidth="1"/>
    <col min="9" max="9" width="10.6640625" customWidth="1"/>
    <col min="10" max="10" width="11.6640625" customWidth="1"/>
    <col min="11" max="11" width="14.88671875" customWidth="1"/>
    <col min="12" max="12" width="17.88671875" customWidth="1"/>
    <col min="13" max="17" width="11.6640625" customWidth="1"/>
    <col min="18" max="18" width="16.33203125" customWidth="1"/>
    <col min="19" max="19" width="18.6640625" customWidth="1"/>
    <col min="20" max="20" width="14.6640625" customWidth="1"/>
    <col min="23" max="23" width="17.109375" customWidth="1"/>
    <col min="24" max="24" width="14.6640625" customWidth="1"/>
    <col min="25" max="25" width="11.5546875" customWidth="1"/>
    <col min="30" max="30" width="14.33203125" customWidth="1"/>
    <col min="31" max="31" width="17" customWidth="1"/>
    <col min="36" max="36" width="14.44140625" customWidth="1"/>
    <col min="41" max="42" width="12.109375" customWidth="1"/>
    <col min="43" max="43" width="12.88671875" customWidth="1"/>
    <col min="44" max="44" width="13" customWidth="1"/>
    <col min="46" max="46" width="12.5546875" customWidth="1"/>
    <col min="47" max="47" width="11.44140625" customWidth="1"/>
    <col min="62" max="62" width="9.5546875" bestFit="1" customWidth="1"/>
  </cols>
  <sheetData>
    <row r="1" spans="2:62" ht="17.399999999999999" x14ac:dyDescent="0.3">
      <c r="B1" s="79" t="s">
        <v>282</v>
      </c>
      <c r="W1" s="104" t="s">
        <v>278</v>
      </c>
      <c r="X1" s="138">
        <v>1</v>
      </c>
      <c r="Y1" s="138" t="s">
        <v>172</v>
      </c>
      <c r="Z1" s="103" t="s">
        <v>281</v>
      </c>
      <c r="AA1" s="103"/>
      <c r="AB1" s="102"/>
      <c r="AD1" s="136">
        <v>1</v>
      </c>
      <c r="AE1" s="136" t="s">
        <v>236</v>
      </c>
      <c r="AF1" t="s">
        <v>280</v>
      </c>
      <c r="AJ1" s="136">
        <v>1E-3</v>
      </c>
      <c r="AK1" s="136" t="s">
        <v>251</v>
      </c>
      <c r="AL1" t="s">
        <v>279</v>
      </c>
      <c r="AX1" s="169" t="s">
        <v>353</v>
      </c>
      <c r="AY1">
        <v>1</v>
      </c>
      <c r="BD1" s="174" t="s">
        <v>344</v>
      </c>
      <c r="BE1" s="175"/>
      <c r="BF1" s="26">
        <f>MotorSpecs1!J46</f>
        <v>-10</v>
      </c>
      <c r="BH1" s="169" t="s">
        <v>346</v>
      </c>
      <c r="BI1" s="169"/>
      <c r="BJ1" s="170">
        <f>BF1*MotorSpecs1!F48</f>
        <v>-3000</v>
      </c>
    </row>
    <row r="2" spans="2:62" ht="18" thickBot="1" x14ac:dyDescent="0.35">
      <c r="B2" s="79"/>
      <c r="W2" s="101" t="s">
        <v>278</v>
      </c>
      <c r="X2" s="137">
        <v>141.6</v>
      </c>
      <c r="Y2" s="137" t="s">
        <v>247</v>
      </c>
      <c r="Z2" s="56" t="s">
        <v>277</v>
      </c>
      <c r="AA2" s="56"/>
      <c r="AB2" s="99"/>
      <c r="AC2" t="s">
        <v>276</v>
      </c>
      <c r="AD2" s="136" t="str">
        <f>"Current " &amp; AE1</f>
        <v>Current Amps Peak of Sine</v>
      </c>
      <c r="AE2" s="136"/>
      <c r="AI2" t="s">
        <v>276</v>
      </c>
      <c r="AJ2" s="136" t="str">
        <f>"Output Power " &amp; AK1</f>
        <v>Output Power KiloWatts</v>
      </c>
      <c r="AK2" s="136"/>
      <c r="BD2" s="174" t="s">
        <v>345</v>
      </c>
      <c r="BE2" s="175"/>
      <c r="BF2" s="26">
        <f>MotorSpecs1!J45</f>
        <v>-10</v>
      </c>
      <c r="BH2" s="169" t="s">
        <v>347</v>
      </c>
      <c r="BI2" s="169"/>
      <c r="BJ2" s="171">
        <f>BF2*MotorSpecs1!F48</f>
        <v>-3000</v>
      </c>
    </row>
    <row r="3" spans="2:62" s="8" customFormat="1" ht="66" x14ac:dyDescent="0.25">
      <c r="B3" s="127" t="s">
        <v>273</v>
      </c>
      <c r="C3" s="135" t="s">
        <v>171</v>
      </c>
      <c r="D3" s="135" t="s">
        <v>275</v>
      </c>
      <c r="E3" s="135" t="s">
        <v>171</v>
      </c>
      <c r="F3" s="133" t="s">
        <v>274</v>
      </c>
      <c r="H3" s="127" t="s">
        <v>273</v>
      </c>
      <c r="I3" s="135" t="s">
        <v>272</v>
      </c>
      <c r="J3" s="9" t="s">
        <v>271</v>
      </c>
      <c r="K3" s="132" t="s">
        <v>259</v>
      </c>
      <c r="L3" s="133" t="s">
        <v>132</v>
      </c>
      <c r="M3" s="129"/>
      <c r="N3" s="132" t="s">
        <v>270</v>
      </c>
      <c r="O3" s="134" t="s">
        <v>268</v>
      </c>
      <c r="P3" s="134" t="s">
        <v>269</v>
      </c>
      <c r="Q3" s="133" t="s">
        <v>268</v>
      </c>
      <c r="R3" s="134" t="s">
        <v>267</v>
      </c>
      <c r="S3" s="133" t="s">
        <v>266</v>
      </c>
      <c r="T3" s="132" t="s">
        <v>265</v>
      </c>
      <c r="U3" s="9" t="s">
        <v>264</v>
      </c>
      <c r="W3" s="131" t="s">
        <v>263</v>
      </c>
      <c r="X3" s="130" t="str">
        <f>"Torque "&amp;Y2</f>
        <v>Torque N*m</v>
      </c>
      <c r="Y3" s="129"/>
      <c r="Z3" s="129"/>
      <c r="AA3" s="129"/>
      <c r="AB3" s="128"/>
      <c r="AO3" s="127" t="s">
        <v>262</v>
      </c>
      <c r="AP3" s="9" t="s">
        <v>261</v>
      </c>
      <c r="AQ3" s="127" t="s">
        <v>262</v>
      </c>
      <c r="AR3" s="9" t="s">
        <v>261</v>
      </c>
      <c r="AT3" s="154" t="s">
        <v>299</v>
      </c>
      <c r="AU3" s="155" t="s">
        <v>300</v>
      </c>
      <c r="AW3" s="156" t="s">
        <v>302</v>
      </c>
      <c r="AX3" s="156" t="s">
        <v>304</v>
      </c>
      <c r="AY3" s="156" t="s">
        <v>305</v>
      </c>
      <c r="AZ3" s="156" t="s">
        <v>306</v>
      </c>
      <c r="BA3" s="156" t="s">
        <v>308</v>
      </c>
      <c r="BB3" s="156" t="s">
        <v>307</v>
      </c>
      <c r="BD3" s="176" t="s">
        <v>348</v>
      </c>
      <c r="BE3" s="176" t="s">
        <v>349</v>
      </c>
      <c r="BF3" s="172" t="s">
        <v>348</v>
      </c>
      <c r="BG3" s="176" t="s">
        <v>349</v>
      </c>
    </row>
    <row r="4" spans="2:62" ht="13.8" thickBot="1" x14ac:dyDescent="0.3">
      <c r="B4" s="10" t="s">
        <v>172</v>
      </c>
      <c r="C4" s="68" t="s">
        <v>260</v>
      </c>
      <c r="D4" s="68" t="s">
        <v>259</v>
      </c>
      <c r="E4" s="68" t="s">
        <v>175</v>
      </c>
      <c r="F4" s="23" t="s">
        <v>132</v>
      </c>
      <c r="H4" s="10" t="str">
        <f>Y1</f>
        <v>RPM</v>
      </c>
      <c r="I4" s="68" t="str">
        <f>Y2</f>
        <v>N*m</v>
      </c>
      <c r="J4" s="67" t="str">
        <f>Y2</f>
        <v>N*m</v>
      </c>
      <c r="K4" s="10" t="str">
        <f>AE1</f>
        <v>Amps Peak of Sine</v>
      </c>
      <c r="L4" s="67" t="str">
        <f>AE1</f>
        <v>Amps Peak of Sine</v>
      </c>
      <c r="M4" s="56"/>
      <c r="N4" s="10" t="s">
        <v>170</v>
      </c>
      <c r="O4" s="68" t="s">
        <v>170</v>
      </c>
      <c r="P4" s="68" t="str">
        <f>AK1</f>
        <v>KiloWatts</v>
      </c>
      <c r="Q4" s="23" t="str">
        <f>AK1</f>
        <v>KiloWatts</v>
      </c>
      <c r="R4" s="68" t="s">
        <v>258</v>
      </c>
      <c r="S4" s="23" t="s">
        <v>258</v>
      </c>
      <c r="T4" s="3" t="s">
        <v>170</v>
      </c>
      <c r="U4" s="67" t="str">
        <f>AK1</f>
        <v>KiloWatts</v>
      </c>
      <c r="W4" s="101" t="s">
        <v>257</v>
      </c>
      <c r="X4" s="126" t="str">
        <f>"Speed " &amp; Y1</f>
        <v>Speed RPM</v>
      </c>
      <c r="Y4" s="56"/>
      <c r="Z4" s="56"/>
      <c r="AA4" s="56"/>
      <c r="AB4" s="99"/>
      <c r="AO4" s="10" t="s">
        <v>170</v>
      </c>
      <c r="AP4" s="67" t="s">
        <v>170</v>
      </c>
      <c r="AQ4" s="10" t="str">
        <f>AK1</f>
        <v>KiloWatts</v>
      </c>
      <c r="AR4" s="67" t="str">
        <f>AK1</f>
        <v>KiloWatts</v>
      </c>
      <c r="AT4" s="19" t="s">
        <v>301</v>
      </c>
      <c r="AU4" s="15" t="s">
        <v>301</v>
      </c>
      <c r="AW4" s="54" t="s">
        <v>303</v>
      </c>
      <c r="AX4" s="54" t="s">
        <v>309</v>
      </c>
      <c r="AY4" s="54" t="s">
        <v>309</v>
      </c>
      <c r="AZ4" s="54" t="s">
        <v>309</v>
      </c>
      <c r="BA4" s="54" t="s">
        <v>309</v>
      </c>
      <c r="BB4" s="54" t="s">
        <v>309</v>
      </c>
      <c r="BD4" s="54" t="s">
        <v>203</v>
      </c>
      <c r="BE4" s="54" t="s">
        <v>203</v>
      </c>
      <c r="BF4" s="54" t="str">
        <f>Y2</f>
        <v>N*m</v>
      </c>
      <c r="BG4" s="54" t="str">
        <f>Y2</f>
        <v>N*m</v>
      </c>
    </row>
    <row r="5" spans="2:62" x14ac:dyDescent="0.25">
      <c r="B5" s="125">
        <v>0</v>
      </c>
      <c r="C5" s="124">
        <v>2627.0160514519216</v>
      </c>
      <c r="D5" s="124">
        <v>109.05074838745945</v>
      </c>
      <c r="E5" s="124">
        <v>7046.537927230429</v>
      </c>
      <c r="F5" s="123">
        <v>545.25374193729726</v>
      </c>
      <c r="H5" s="92">
        <f t="shared" ref="H5:H36" si="0">B5*$X$1</f>
        <v>0</v>
      </c>
      <c r="I5" s="122">
        <f>C5/$X$2</f>
        <v>18.552373244716961</v>
      </c>
      <c r="J5" s="87">
        <f t="shared" ref="J5:J36" si="1">E5/$X$2</f>
        <v>49.763685926768567</v>
      </c>
      <c r="K5" s="92">
        <f t="shared" ref="K5:K36" si="2">D5*$AD$1</f>
        <v>109.05074838745945</v>
      </c>
      <c r="L5" s="87">
        <f t="shared" ref="L5:L36" si="3">$AD$1*F5</f>
        <v>545.25374193729726</v>
      </c>
      <c r="M5" s="56"/>
      <c r="N5" s="120">
        <v>0</v>
      </c>
      <c r="O5" s="121">
        <v>0</v>
      </c>
      <c r="P5" s="69">
        <f t="shared" ref="P5:P36" si="4">N5*$AJ$1</f>
        <v>0</v>
      </c>
      <c r="Q5" s="69">
        <f t="shared" ref="Q5:Q36" si="5">O5*$AJ$1</f>
        <v>0</v>
      </c>
      <c r="R5" s="121">
        <v>0</v>
      </c>
      <c r="S5" s="119">
        <v>0</v>
      </c>
      <c r="T5" s="88">
        <v>0</v>
      </c>
      <c r="U5" s="87">
        <f t="shared" ref="U5:U36" si="6">T5*$AJ$1</f>
        <v>0</v>
      </c>
      <c r="W5" s="108"/>
      <c r="X5" s="112" t="s">
        <v>256</v>
      </c>
      <c r="Y5" s="111"/>
      <c r="Z5" s="21"/>
      <c r="AA5" s="56"/>
      <c r="AB5" s="99"/>
      <c r="AD5" s="115" t="s">
        <v>255</v>
      </c>
      <c r="AE5" s="115"/>
      <c r="AJ5" s="116" t="s">
        <v>255</v>
      </c>
      <c r="AK5" s="116"/>
      <c r="AL5" s="116"/>
      <c r="AO5" s="120">
        <v>517.22354401572375</v>
      </c>
      <c r="AP5" s="119">
        <v>12930.588600393094</v>
      </c>
      <c r="AQ5" s="30">
        <f t="shared" ref="AQ5:AQ36" si="7">AO5*$AJ$1</f>
        <v>0.51722354401572379</v>
      </c>
      <c r="AR5" s="118">
        <f t="shared" ref="AR5:AR36" si="8">AP5*$AJ$1</f>
        <v>12.930588600393094</v>
      </c>
      <c r="AT5" s="54">
        <v>0</v>
      </c>
      <c r="AU5" s="54">
        <v>0</v>
      </c>
      <c r="AW5" s="54">
        <v>300</v>
      </c>
      <c r="AX5" s="54">
        <v>27.383503257372489</v>
      </c>
      <c r="AY5" s="54">
        <v>5.4767006514744985</v>
      </c>
      <c r="AZ5" s="54">
        <v>0</v>
      </c>
      <c r="BA5" s="54">
        <v>0</v>
      </c>
      <c r="BB5" s="54">
        <v>0</v>
      </c>
      <c r="BD5" s="54">
        <f>141.6*$BJ$2*R6*$AY$1/(B6*PI()/30+0.000001)</f>
        <v>-9166.6932424540919</v>
      </c>
      <c r="BE5" s="54">
        <f>141.6*$BJ$1*R6/(B6*PI()/30+0.000001)</f>
        <v>-9166.6932424540919</v>
      </c>
      <c r="BF5" s="54">
        <f>MIN(BD5/$X$2,I5)</f>
        <v>-64.736534198122115</v>
      </c>
      <c r="BG5" s="54">
        <f>MIN(BE5/$X$2,J5)</f>
        <v>-64.736534198122115</v>
      </c>
    </row>
    <row r="6" spans="2:62" x14ac:dyDescent="0.25">
      <c r="B6" s="93">
        <v>175.8241758241758</v>
      </c>
      <c r="C6" s="95">
        <v>2625.733401414353</v>
      </c>
      <c r="D6" s="95">
        <v>109.02016993118131</v>
      </c>
      <c r="E6" s="95">
        <v>7045.9402659523494</v>
      </c>
      <c r="F6" s="94">
        <v>545.2476270691908</v>
      </c>
      <c r="H6" s="92">
        <f t="shared" si="0"/>
        <v>175.8241758241758</v>
      </c>
      <c r="I6" s="54">
        <f t="shared" ref="I6:I36" si="9">C6/$X$2</f>
        <v>18.543314981739783</v>
      </c>
      <c r="J6" s="64">
        <f t="shared" si="1"/>
        <v>49.759465155030718</v>
      </c>
      <c r="K6" s="2">
        <f t="shared" si="2"/>
        <v>109.02016993118131</v>
      </c>
      <c r="L6" s="64">
        <f t="shared" si="3"/>
        <v>545.2476270691908</v>
      </c>
      <c r="M6" s="56"/>
      <c r="N6" s="91">
        <v>341.42442268035302</v>
      </c>
      <c r="O6" s="90">
        <v>916.18444060132913</v>
      </c>
      <c r="P6" s="54">
        <f t="shared" si="4"/>
        <v>0.341424422680353</v>
      </c>
      <c r="Q6" s="54">
        <f t="shared" si="5"/>
        <v>0.9161844406013292</v>
      </c>
      <c r="R6" s="90">
        <v>0.39731542134575043</v>
      </c>
      <c r="S6" s="89">
        <v>6.6162591780373536E-2</v>
      </c>
      <c r="T6" s="88">
        <v>0.97016448027679081</v>
      </c>
      <c r="U6" s="87">
        <f t="shared" si="6"/>
        <v>9.7016448027679081E-4</v>
      </c>
      <c r="W6" s="108"/>
      <c r="X6" s="117" t="s">
        <v>254</v>
      </c>
      <c r="Y6" s="109" t="s">
        <v>231</v>
      </c>
      <c r="Z6" s="21"/>
      <c r="AA6" s="56"/>
      <c r="AB6" s="99"/>
      <c r="AD6" s="115" t="s">
        <v>254</v>
      </c>
      <c r="AE6" s="115" t="s">
        <v>143</v>
      </c>
      <c r="AJ6" s="116" t="s">
        <v>254</v>
      </c>
      <c r="AK6" s="116" t="s">
        <v>143</v>
      </c>
      <c r="AL6" s="116"/>
      <c r="AO6" s="91">
        <v>516.93351977790269</v>
      </c>
      <c r="AP6" s="89">
        <v>12930.298576155272</v>
      </c>
      <c r="AQ6" s="5">
        <f t="shared" si="7"/>
        <v>0.51693351977790269</v>
      </c>
      <c r="AR6" s="41">
        <f t="shared" si="8"/>
        <v>12.930298576155272</v>
      </c>
      <c r="AT6" s="54">
        <v>0</v>
      </c>
      <c r="AU6" s="54">
        <v>0</v>
      </c>
      <c r="AW6" s="54">
        <v>300</v>
      </c>
      <c r="AX6" s="54">
        <v>30.926129335103361</v>
      </c>
      <c r="AY6" s="54">
        <v>9.3109037099542586</v>
      </c>
      <c r="AZ6" s="54">
        <v>3.6427654310666715</v>
      </c>
      <c r="BA6" s="54">
        <v>0</v>
      </c>
      <c r="BB6" s="54">
        <v>0</v>
      </c>
      <c r="BD6" s="54">
        <f t="shared" ref="BD6:BD69" si="10">141.6*$BJ$2*R7*$AY$1/(B7*PI()/30+0.000001)</f>
        <v>-6554.4397967383793</v>
      </c>
      <c r="BE6" s="54">
        <f t="shared" ref="BE6:BE69" si="11">141.6*$BJ$1*R7/(B7*PI()/30+0.000001)</f>
        <v>-6554.4397967383793</v>
      </c>
      <c r="BF6" s="54">
        <f t="shared" ref="BF6:BF69" si="12">MIN(BD6/$X$2,I6)</f>
        <v>-46.288416643632623</v>
      </c>
      <c r="BG6" s="54">
        <f t="shared" ref="BG6:BG69" si="13">MIN(BE6/$X$2,J6)</f>
        <v>-46.288416643632623</v>
      </c>
    </row>
    <row r="7" spans="2:62" x14ac:dyDescent="0.25">
      <c r="B7" s="93">
        <v>351.64835164835159</v>
      </c>
      <c r="C7" s="95">
        <v>2624.3417744357234</v>
      </c>
      <c r="D7" s="95">
        <v>108.98494838556252</v>
      </c>
      <c r="E7" s="95">
        <v>7045.3376797319461</v>
      </c>
      <c r="F7" s="94">
        <v>545.24058574849641</v>
      </c>
      <c r="H7" s="92">
        <f t="shared" si="0"/>
        <v>351.64835164835159</v>
      </c>
      <c r="I7" s="54">
        <f t="shared" si="9"/>
        <v>18.533487107596919</v>
      </c>
      <c r="J7" s="64">
        <f t="shared" si="1"/>
        <v>49.755209602626742</v>
      </c>
      <c r="K7" s="2">
        <f t="shared" si="2"/>
        <v>108.98494838556252</v>
      </c>
      <c r="L7" s="64">
        <f t="shared" si="3"/>
        <v>545.24058574849641</v>
      </c>
      <c r="M7" s="56"/>
      <c r="N7" s="91">
        <v>682.48693852164229</v>
      </c>
      <c r="O7" s="90">
        <v>1832.2121724885858</v>
      </c>
      <c r="P7" s="54">
        <f t="shared" si="4"/>
        <v>0.68248693852164233</v>
      </c>
      <c r="Q7" s="54">
        <f t="shared" si="5"/>
        <v>1.8322121724885858</v>
      </c>
      <c r="R7" s="90">
        <v>0.56818306665854068</v>
      </c>
      <c r="S7" s="89">
        <v>0.12409749837359212</v>
      </c>
      <c r="T7" s="88">
        <v>2.087303345519496</v>
      </c>
      <c r="U7" s="87">
        <f t="shared" si="6"/>
        <v>2.0873033455194962E-3</v>
      </c>
      <c r="W7" s="108"/>
      <c r="X7" s="117">
        <v>1</v>
      </c>
      <c r="Y7" s="109" t="s">
        <v>203</v>
      </c>
      <c r="Z7" s="21"/>
      <c r="AA7" s="56"/>
      <c r="AB7" s="99"/>
      <c r="AD7" s="115">
        <v>1</v>
      </c>
      <c r="AE7" s="115" t="s">
        <v>236</v>
      </c>
      <c r="AJ7" s="116">
        <v>1</v>
      </c>
      <c r="AK7" s="116" t="s">
        <v>170</v>
      </c>
      <c r="AL7" s="116"/>
      <c r="AO7" s="91">
        <v>516.59955852234361</v>
      </c>
      <c r="AP7" s="89">
        <v>12929.964614899714</v>
      </c>
      <c r="AQ7" s="5">
        <f t="shared" si="7"/>
        <v>0.51659955852234363</v>
      </c>
      <c r="AR7" s="41">
        <f t="shared" si="8"/>
        <v>12.929964614899715</v>
      </c>
      <c r="AT7" s="54">
        <v>0</v>
      </c>
      <c r="AU7" s="54">
        <v>0</v>
      </c>
      <c r="AW7" s="54">
        <v>300</v>
      </c>
      <c r="AX7" s="54">
        <v>36.917740710140983</v>
      </c>
      <c r="AY7" s="54">
        <v>13.317444840954758</v>
      </c>
      <c r="AZ7" s="54">
        <v>7.285530862133343</v>
      </c>
      <c r="BA7" s="54">
        <v>0</v>
      </c>
      <c r="BB7" s="54">
        <v>0</v>
      </c>
      <c r="BD7" s="54">
        <f t="shared" si="10"/>
        <v>-5100.4255478439745</v>
      </c>
      <c r="BE7" s="54">
        <f t="shared" si="11"/>
        <v>-5100.4255478439745</v>
      </c>
      <c r="BF7" s="54">
        <f t="shared" si="12"/>
        <v>-36.019954433926372</v>
      </c>
      <c r="BG7" s="54">
        <f t="shared" si="13"/>
        <v>-36.019954433926372</v>
      </c>
    </row>
    <row r="8" spans="2:62" x14ac:dyDescent="0.25">
      <c r="B8" s="93">
        <v>527.47252747252742</v>
      </c>
      <c r="C8" s="95">
        <v>2622.8410516332601</v>
      </c>
      <c r="D8" s="95">
        <v>108.94507924732171</v>
      </c>
      <c r="E8" s="95">
        <v>7044.7301683784099</v>
      </c>
      <c r="F8" s="94">
        <v>545.23261793932033</v>
      </c>
      <c r="H8" s="92">
        <f t="shared" si="0"/>
        <v>527.47252747252742</v>
      </c>
      <c r="I8" s="54">
        <f t="shared" si="9"/>
        <v>18.522888782720763</v>
      </c>
      <c r="J8" s="64">
        <f t="shared" si="1"/>
        <v>49.75091926820911</v>
      </c>
      <c r="K8" s="2">
        <f t="shared" si="2"/>
        <v>108.94507924732171</v>
      </c>
      <c r="L8" s="64">
        <f t="shared" si="3"/>
        <v>545.23261793932033</v>
      </c>
      <c r="M8" s="56"/>
      <c r="N8" s="91">
        <v>1023.1449902954959</v>
      </c>
      <c r="O8" s="90">
        <v>2748.0812744148502</v>
      </c>
      <c r="P8" s="54">
        <f t="shared" si="4"/>
        <v>1.0231449902954959</v>
      </c>
      <c r="Q8" s="54">
        <f t="shared" si="5"/>
        <v>2.7480812744148504</v>
      </c>
      <c r="R8" s="90">
        <v>0.66320894523602691</v>
      </c>
      <c r="S8" s="89">
        <v>0.17524836050145118</v>
      </c>
      <c r="T8" s="88">
        <v>3.3514165957281148</v>
      </c>
      <c r="U8" s="87">
        <f t="shared" si="6"/>
        <v>3.3514165957281147E-3</v>
      </c>
      <c r="W8" s="108"/>
      <c r="X8" s="117">
        <v>16</v>
      </c>
      <c r="Y8" s="109" t="s">
        <v>253</v>
      </c>
      <c r="Z8" s="21"/>
      <c r="AA8" s="56"/>
      <c r="AB8" s="99"/>
      <c r="AD8" s="115">
        <v>0.70710700000000004</v>
      </c>
      <c r="AE8" s="115" t="s">
        <v>252</v>
      </c>
      <c r="AJ8" s="115">
        <v>1E-3</v>
      </c>
      <c r="AK8" s="116" t="s">
        <v>251</v>
      </c>
      <c r="AL8" s="116"/>
      <c r="AO8" s="91">
        <v>516.22166024904618</v>
      </c>
      <c r="AP8" s="89">
        <v>12929.586716626412</v>
      </c>
      <c r="AQ8" s="5">
        <f t="shared" si="7"/>
        <v>0.51622166024904614</v>
      </c>
      <c r="AR8" s="41">
        <f t="shared" si="8"/>
        <v>12.929586716626412</v>
      </c>
      <c r="AT8" s="54">
        <v>0</v>
      </c>
      <c r="AU8" s="54">
        <v>0</v>
      </c>
      <c r="AW8" s="54">
        <v>300</v>
      </c>
      <c r="AX8" s="54">
        <v>44.377031303105035</v>
      </c>
      <c r="AY8" s="54">
        <v>17.376921789981342</v>
      </c>
      <c r="AZ8" s="54">
        <v>10.928296293200015</v>
      </c>
      <c r="BA8" s="54">
        <v>0</v>
      </c>
      <c r="BB8" s="54">
        <v>0</v>
      </c>
      <c r="BD8" s="54">
        <f t="shared" si="10"/>
        <v>-4174.113342489557</v>
      </c>
      <c r="BE8" s="54">
        <f t="shared" si="11"/>
        <v>-4174.113342489557</v>
      </c>
      <c r="BF8" s="54">
        <f t="shared" si="12"/>
        <v>-29.478201571253933</v>
      </c>
      <c r="BG8" s="54">
        <f t="shared" si="13"/>
        <v>-29.478201571253933</v>
      </c>
    </row>
    <row r="9" spans="2:62" x14ac:dyDescent="0.25">
      <c r="B9" s="93">
        <v>703.29670329670319</v>
      </c>
      <c r="C9" s="95">
        <v>2621.2310982516597</v>
      </c>
      <c r="D9" s="95">
        <v>108.9005574119256</v>
      </c>
      <c r="E9" s="95">
        <v>7044.1177316758185</v>
      </c>
      <c r="F9" s="94">
        <v>545.22372360104418</v>
      </c>
      <c r="H9" s="92">
        <f t="shared" si="0"/>
        <v>703.29670329670319</v>
      </c>
      <c r="I9" s="54">
        <f t="shared" si="9"/>
        <v>18.511519055449575</v>
      </c>
      <c r="J9" s="64">
        <f t="shared" si="1"/>
        <v>49.74659415025296</v>
      </c>
      <c r="K9" s="2">
        <f t="shared" si="2"/>
        <v>108.9005574119256</v>
      </c>
      <c r="L9" s="64">
        <f t="shared" si="3"/>
        <v>545.22372360104418</v>
      </c>
      <c r="M9" s="56"/>
      <c r="N9" s="91">
        <v>1363.35595068455</v>
      </c>
      <c r="O9" s="90">
        <v>3663.7898250208968</v>
      </c>
      <c r="P9" s="54">
        <f t="shared" si="4"/>
        <v>1.3633559506845501</v>
      </c>
      <c r="Q9" s="54">
        <f t="shared" si="5"/>
        <v>3.6637898250208969</v>
      </c>
      <c r="R9" s="90">
        <v>0.72368060760709141</v>
      </c>
      <c r="S9" s="89">
        <v>0.22073974300326671</v>
      </c>
      <c r="T9" s="88">
        <v>4.7625042309026471</v>
      </c>
      <c r="U9" s="87">
        <f t="shared" si="6"/>
        <v>4.7625042309026476E-3</v>
      </c>
      <c r="W9" s="108"/>
      <c r="X9" s="114">
        <f>12*16</f>
        <v>192</v>
      </c>
      <c r="Y9" s="113" t="s">
        <v>250</v>
      </c>
      <c r="Z9" s="21"/>
      <c r="AA9" s="56"/>
      <c r="AB9" s="99"/>
      <c r="AD9" s="115">
        <v>0.81649700000000003</v>
      </c>
      <c r="AE9" s="115" t="s">
        <v>249</v>
      </c>
      <c r="AJ9" s="116">
        <v>1.34E-3</v>
      </c>
      <c r="AK9" s="116" t="s">
        <v>248</v>
      </c>
      <c r="AL9" s="115"/>
      <c r="AO9" s="91">
        <v>515.79982495801062</v>
      </c>
      <c r="AP9" s="89">
        <v>12929.164881335379</v>
      </c>
      <c r="AQ9" s="5">
        <f t="shared" si="7"/>
        <v>0.51579982495801058</v>
      </c>
      <c r="AR9" s="41">
        <f t="shared" si="8"/>
        <v>12.929164881335378</v>
      </c>
      <c r="AT9" s="54">
        <v>0</v>
      </c>
      <c r="AU9" s="54">
        <v>0</v>
      </c>
      <c r="AW9" s="54">
        <v>300</v>
      </c>
      <c r="AX9" s="54">
        <v>52.684039097713558</v>
      </c>
      <c r="AY9" s="54">
        <v>21.458740135247556</v>
      </c>
      <c r="AZ9" s="54">
        <v>14.571061724266686</v>
      </c>
      <c r="BA9" s="54">
        <v>0</v>
      </c>
      <c r="BB9" s="54">
        <v>0</v>
      </c>
      <c r="BD9" s="54">
        <f t="shared" si="10"/>
        <v>-3532.3495733302193</v>
      </c>
      <c r="BE9" s="54">
        <f t="shared" si="11"/>
        <v>-3532.3495733302193</v>
      </c>
      <c r="BF9" s="54">
        <f t="shared" si="12"/>
        <v>-24.945971563066522</v>
      </c>
      <c r="BG9" s="54">
        <f t="shared" si="13"/>
        <v>-24.945971563066522</v>
      </c>
    </row>
    <row r="10" spans="2:62" ht="13.8" thickBot="1" x14ac:dyDescent="0.3">
      <c r="B10" s="93">
        <v>879.12087912087884</v>
      </c>
      <c r="C10" s="95">
        <v>2619.5117635764332</v>
      </c>
      <c r="D10" s="95">
        <v>108.85137717030686</v>
      </c>
      <c r="E10" s="95">
        <v>7043.5003693831241</v>
      </c>
      <c r="F10" s="94">
        <v>545.21390268832295</v>
      </c>
      <c r="H10" s="92">
        <f t="shared" si="0"/>
        <v>879.12087912087884</v>
      </c>
      <c r="I10" s="54">
        <f t="shared" si="9"/>
        <v>18.499376861415488</v>
      </c>
      <c r="J10" s="64">
        <f t="shared" si="1"/>
        <v>49.742234247055961</v>
      </c>
      <c r="K10" s="2">
        <f t="shared" si="2"/>
        <v>108.85137717030686</v>
      </c>
      <c r="L10" s="64">
        <f t="shared" si="3"/>
        <v>545.21390268832295</v>
      </c>
      <c r="M10" s="56"/>
      <c r="N10" s="91">
        <v>1703.0771119065755</v>
      </c>
      <c r="O10" s="90">
        <v>4579.3359028188597</v>
      </c>
      <c r="P10" s="54">
        <f t="shared" si="4"/>
        <v>1.7030771119065755</v>
      </c>
      <c r="Q10" s="54">
        <f t="shared" si="5"/>
        <v>4.57933590281886</v>
      </c>
      <c r="R10" s="90">
        <v>0.76551972503512511</v>
      </c>
      <c r="S10" s="89">
        <v>0.26146067228632097</v>
      </c>
      <c r="T10" s="88">
        <v>6.3205662510430924</v>
      </c>
      <c r="U10" s="87">
        <f t="shared" si="6"/>
        <v>6.3205662510430922E-3</v>
      </c>
      <c r="W10" s="108"/>
      <c r="X10" s="114">
        <v>141.6</v>
      </c>
      <c r="Y10" s="113" t="s">
        <v>247</v>
      </c>
      <c r="Z10" s="21"/>
      <c r="AA10" s="56"/>
      <c r="AB10" s="99"/>
      <c r="AO10" s="91">
        <v>515.33405264923647</v>
      </c>
      <c r="AP10" s="89">
        <v>12928.699109026604</v>
      </c>
      <c r="AQ10" s="5">
        <f t="shared" si="7"/>
        <v>0.51533405264923648</v>
      </c>
      <c r="AR10" s="41">
        <f t="shared" si="8"/>
        <v>12.928699109026605</v>
      </c>
      <c r="AT10" s="54">
        <v>0</v>
      </c>
      <c r="AU10" s="54">
        <v>0</v>
      </c>
      <c r="AW10" s="54">
        <v>300</v>
      </c>
      <c r="AX10" s="54">
        <v>61.495979293818557</v>
      </c>
      <c r="AY10" s="54">
        <v>25.551644002789089</v>
      </c>
      <c r="AZ10" s="54">
        <v>18.213827155333355</v>
      </c>
      <c r="BA10" s="54">
        <v>0</v>
      </c>
      <c r="BB10" s="54">
        <v>0</v>
      </c>
      <c r="BD10" s="54">
        <f t="shared" si="10"/>
        <v>-3061.4773427649507</v>
      </c>
      <c r="BE10" s="54">
        <f t="shared" si="11"/>
        <v>-3061.4773427649507</v>
      </c>
      <c r="BF10" s="54">
        <f t="shared" si="12"/>
        <v>-21.620602703142307</v>
      </c>
      <c r="BG10" s="54">
        <f t="shared" si="13"/>
        <v>-21.620602703142307</v>
      </c>
    </row>
    <row r="11" spans="2:62" x14ac:dyDescent="0.25">
      <c r="B11" s="93">
        <v>1054.9450549450548</v>
      </c>
      <c r="C11" s="95">
        <v>2617.6828808367677</v>
      </c>
      <c r="D11" s="95">
        <v>108.79753220518428</v>
      </c>
      <c r="E11" s="95">
        <v>7042.8780812341465</v>
      </c>
      <c r="F11" s="94">
        <v>545.20315515108484</v>
      </c>
      <c r="H11" s="92">
        <f t="shared" si="0"/>
        <v>1054.9450549450548</v>
      </c>
      <c r="I11" s="54">
        <f t="shared" si="9"/>
        <v>18.486461022858531</v>
      </c>
      <c r="J11" s="64">
        <f t="shared" si="1"/>
        <v>49.737839556738322</v>
      </c>
      <c r="K11" s="2">
        <f t="shared" si="2"/>
        <v>108.79753220518428</v>
      </c>
      <c r="L11" s="64">
        <f t="shared" si="3"/>
        <v>545.20315515108484</v>
      </c>
      <c r="M11" s="56"/>
      <c r="N11" s="91">
        <v>2042.2656752628184</v>
      </c>
      <c r="O11" s="90">
        <v>5494.7175861758915</v>
      </c>
      <c r="P11" s="54">
        <f t="shared" si="4"/>
        <v>2.0422656752628185</v>
      </c>
      <c r="Q11" s="54">
        <f t="shared" si="5"/>
        <v>5.4947175861758915</v>
      </c>
      <c r="R11" s="90">
        <v>0.7961685243453348</v>
      </c>
      <c r="S11" s="89">
        <v>0.29812323446293554</v>
      </c>
      <c r="T11" s="88">
        <v>8.025602656149454</v>
      </c>
      <c r="U11" s="87">
        <f t="shared" si="6"/>
        <v>8.025602656149454E-3</v>
      </c>
      <c r="W11" s="108"/>
      <c r="X11" s="112">
        <v>1</v>
      </c>
      <c r="Y11" s="111" t="s">
        <v>172</v>
      </c>
      <c r="Z11" s="21"/>
      <c r="AA11" s="56"/>
      <c r="AB11" s="99"/>
      <c r="AO11" s="91">
        <v>514.82434332272442</v>
      </c>
      <c r="AP11" s="89">
        <v>12928.189399700095</v>
      </c>
      <c r="AQ11" s="5">
        <f t="shared" si="7"/>
        <v>0.51482434332272442</v>
      </c>
      <c r="AR11" s="41">
        <f t="shared" si="8"/>
        <v>12.928189399700095</v>
      </c>
      <c r="AT11" s="54">
        <v>0</v>
      </c>
      <c r="AU11" s="54">
        <v>0</v>
      </c>
      <c r="AW11" s="54">
        <v>300</v>
      </c>
      <c r="AX11" s="54">
        <v>70.623892860543776</v>
      </c>
      <c r="AY11" s="54">
        <v>29.650507976928022</v>
      </c>
      <c r="AZ11" s="54">
        <v>21.85659258640003</v>
      </c>
      <c r="BA11" s="54">
        <v>0</v>
      </c>
      <c r="BB11" s="54">
        <v>0</v>
      </c>
      <c r="BD11" s="54">
        <f t="shared" si="10"/>
        <v>-2701.2579388097051</v>
      </c>
      <c r="BE11" s="54">
        <f t="shared" si="11"/>
        <v>-2701.2579388097051</v>
      </c>
      <c r="BF11" s="54">
        <f t="shared" si="12"/>
        <v>-19.076680358825602</v>
      </c>
      <c r="BG11" s="54">
        <f t="shared" si="13"/>
        <v>-19.076680358825602</v>
      </c>
    </row>
    <row r="12" spans="2:62" x14ac:dyDescent="0.25">
      <c r="B12" s="93">
        <v>1230.7692307692305</v>
      </c>
      <c r="C12" s="95">
        <v>2615.7442670977143</v>
      </c>
      <c r="D12" s="95">
        <v>108.73901558697887</v>
      </c>
      <c r="E12" s="95">
        <v>7042.2508669375684</v>
      </c>
      <c r="F12" s="94">
        <v>545.19148093452907</v>
      </c>
      <c r="H12" s="92">
        <f t="shared" si="0"/>
        <v>1230.7692307692305</v>
      </c>
      <c r="I12" s="54">
        <f t="shared" si="9"/>
        <v>18.472770247865213</v>
      </c>
      <c r="J12" s="64">
        <f t="shared" si="1"/>
        <v>49.733410077242716</v>
      </c>
      <c r="K12" s="2">
        <f t="shared" si="2"/>
        <v>108.73901558697887</v>
      </c>
      <c r="L12" s="64">
        <f t="shared" si="3"/>
        <v>545.19148093452907</v>
      </c>
      <c r="M12" s="56"/>
      <c r="N12" s="91">
        <v>2380.8787406008391</v>
      </c>
      <c r="O12" s="90">
        <v>6409.9329532978172</v>
      </c>
      <c r="P12" s="54">
        <f t="shared" si="4"/>
        <v>2.3808787406008394</v>
      </c>
      <c r="Q12" s="54">
        <f t="shared" si="5"/>
        <v>6.4099329532978171</v>
      </c>
      <c r="R12" s="90">
        <v>0.81957140971160736</v>
      </c>
      <c r="S12" s="89">
        <v>0.33130450875268325</v>
      </c>
      <c r="T12" s="88">
        <v>9.87761344622173</v>
      </c>
      <c r="U12" s="87">
        <f t="shared" si="6"/>
        <v>9.8776134462217301E-3</v>
      </c>
      <c r="W12" s="108"/>
      <c r="X12" s="110">
        <v>1.6666666666666666E-2</v>
      </c>
      <c r="Y12" s="109" t="s">
        <v>246</v>
      </c>
      <c r="Z12" s="21"/>
      <c r="AA12" s="56"/>
      <c r="AB12" s="99"/>
      <c r="AO12" s="91">
        <v>514.27069697847401</v>
      </c>
      <c r="AP12" s="89">
        <v>12927.635753355844</v>
      </c>
      <c r="AQ12" s="5">
        <f t="shared" si="7"/>
        <v>0.51427069697847405</v>
      </c>
      <c r="AR12" s="41">
        <f t="shared" si="8"/>
        <v>12.927635753355844</v>
      </c>
      <c r="AT12" s="54">
        <v>0</v>
      </c>
      <c r="AU12" s="54">
        <v>0</v>
      </c>
      <c r="AW12" s="54">
        <v>300</v>
      </c>
      <c r="AX12" s="54">
        <v>79.959435466463688</v>
      </c>
      <c r="AY12" s="54">
        <v>33.752637910974464</v>
      </c>
      <c r="AZ12" s="54">
        <v>25.499358017466701</v>
      </c>
      <c r="BA12" s="54">
        <v>0</v>
      </c>
      <c r="BB12" s="54">
        <v>0</v>
      </c>
      <c r="BD12" s="54">
        <f t="shared" si="10"/>
        <v>-2416.7877104153904</v>
      </c>
      <c r="BE12" s="54">
        <f t="shared" si="11"/>
        <v>-2416.7877104153904</v>
      </c>
      <c r="BF12" s="54">
        <f t="shared" si="12"/>
        <v>-17.067709819317731</v>
      </c>
      <c r="BG12" s="54">
        <f t="shared" si="13"/>
        <v>-17.067709819317731</v>
      </c>
    </row>
    <row r="13" spans="2:62" ht="13.8" thickBot="1" x14ac:dyDescent="0.3">
      <c r="B13" s="93">
        <v>1406.5934065934064</v>
      </c>
      <c r="C13" s="95">
        <v>2613.6957231415558</v>
      </c>
      <c r="D13" s="95">
        <v>108.67581976932017</v>
      </c>
      <c r="E13" s="95">
        <v>7041.6187261769328</v>
      </c>
      <c r="F13" s="94">
        <v>545.17887997912521</v>
      </c>
      <c r="H13" s="92">
        <f t="shared" si="0"/>
        <v>1406.5934065934064</v>
      </c>
      <c r="I13" s="54">
        <f t="shared" si="9"/>
        <v>18.458303129530762</v>
      </c>
      <c r="J13" s="64">
        <f t="shared" si="1"/>
        <v>49.728945806334274</v>
      </c>
      <c r="K13" s="2">
        <f t="shared" si="2"/>
        <v>108.67581976932017</v>
      </c>
      <c r="L13" s="64">
        <f t="shared" si="3"/>
        <v>545.17887997912521</v>
      </c>
      <c r="M13" s="56"/>
      <c r="N13" s="91">
        <v>2718.873295681984</v>
      </c>
      <c r="O13" s="90">
        <v>7324.98008221279</v>
      </c>
      <c r="P13" s="54">
        <f t="shared" si="4"/>
        <v>2.7188732956819841</v>
      </c>
      <c r="Q13" s="54">
        <f t="shared" si="5"/>
        <v>7.3249800822127904</v>
      </c>
      <c r="R13" s="90">
        <v>0.83801384550514391</v>
      </c>
      <c r="S13" s="89">
        <v>0.36147711510408292</v>
      </c>
      <c r="T13" s="88">
        <v>11.876598621259916</v>
      </c>
      <c r="U13" s="87">
        <f t="shared" si="6"/>
        <v>1.1876598621259915E-2</v>
      </c>
      <c r="W13" s="108"/>
      <c r="X13" s="107">
        <f>PI()/30</f>
        <v>0.10471975511965977</v>
      </c>
      <c r="Y13" s="106" t="s">
        <v>245</v>
      </c>
      <c r="Z13" s="21"/>
      <c r="AA13" s="56"/>
      <c r="AB13" s="99"/>
      <c r="AO13" s="91">
        <v>513.67311361648547</v>
      </c>
      <c r="AP13" s="89">
        <v>12927.03816999385</v>
      </c>
      <c r="AQ13" s="5">
        <f t="shared" si="7"/>
        <v>0.51367311361648549</v>
      </c>
      <c r="AR13" s="41">
        <f t="shared" si="8"/>
        <v>12.92703816999385</v>
      </c>
      <c r="AT13" s="54">
        <v>0</v>
      </c>
      <c r="AU13" s="54">
        <v>0</v>
      </c>
      <c r="AW13" s="54">
        <v>300</v>
      </c>
      <c r="AX13" s="54">
        <v>89.437407693467932</v>
      </c>
      <c r="AY13" s="54">
        <v>37.856458847389248</v>
      </c>
      <c r="AZ13" s="54">
        <v>29.142123448533372</v>
      </c>
      <c r="BA13" s="54">
        <v>0</v>
      </c>
      <c r="BB13" s="54">
        <v>0</v>
      </c>
      <c r="BD13" s="54">
        <f t="shared" si="10"/>
        <v>-2186.4460650337774</v>
      </c>
      <c r="BE13" s="54">
        <f t="shared" si="11"/>
        <v>-2186.4460650337774</v>
      </c>
      <c r="BF13" s="54">
        <f t="shared" si="12"/>
        <v>-15.441003284136846</v>
      </c>
      <c r="BG13" s="54">
        <f t="shared" si="13"/>
        <v>-15.441003284136846</v>
      </c>
    </row>
    <row r="14" spans="2:62" x14ac:dyDescent="0.25">
      <c r="B14" s="93">
        <v>1582.4175824175823</v>
      </c>
      <c r="C14" s="95">
        <v>2611.5370333381825</v>
      </c>
      <c r="D14" s="95">
        <v>108.60793658413596</v>
      </c>
      <c r="E14" s="95">
        <v>7040.9816586106299</v>
      </c>
      <c r="F14" s="94">
        <v>545.16535222061157</v>
      </c>
      <c r="H14" s="92">
        <f t="shared" si="0"/>
        <v>1582.4175824175823</v>
      </c>
      <c r="I14" s="54">
        <f t="shared" si="9"/>
        <v>18.443058145043661</v>
      </c>
      <c r="J14" s="64">
        <f t="shared" si="1"/>
        <v>49.724446741600495</v>
      </c>
      <c r="K14" s="2">
        <f t="shared" si="2"/>
        <v>108.60793658413596</v>
      </c>
      <c r="L14" s="64">
        <f t="shared" si="3"/>
        <v>545.16535222061157</v>
      </c>
      <c r="M14" s="56"/>
      <c r="N14" s="91">
        <v>3056.2062054434405</v>
      </c>
      <c r="O14" s="90">
        <v>8239.8570507549375</v>
      </c>
      <c r="P14" s="54">
        <f t="shared" si="4"/>
        <v>3.0562062054434405</v>
      </c>
      <c r="Q14" s="54">
        <f t="shared" si="5"/>
        <v>8.2398570507549369</v>
      </c>
      <c r="R14" s="90">
        <v>0.85291152130524606</v>
      </c>
      <c r="S14" s="89">
        <v>0.38903182660469282</v>
      </c>
      <c r="T14" s="88">
        <v>14.022558181264017</v>
      </c>
      <c r="U14" s="87">
        <f t="shared" si="6"/>
        <v>1.4022558181264017E-2</v>
      </c>
      <c r="W14" s="101"/>
      <c r="X14" s="56"/>
      <c r="Y14" s="56"/>
      <c r="Z14" s="56"/>
      <c r="AA14" s="56"/>
      <c r="AB14" s="99"/>
      <c r="AO14" s="91">
        <v>513.03159323675845</v>
      </c>
      <c r="AP14" s="89">
        <v>12926.396649614129</v>
      </c>
      <c r="AQ14" s="5">
        <f t="shared" si="7"/>
        <v>0.51303159323675851</v>
      </c>
      <c r="AR14" s="41">
        <f t="shared" si="8"/>
        <v>12.92639664961413</v>
      </c>
      <c r="AT14" s="54">
        <v>0</v>
      </c>
      <c r="AU14" s="54">
        <v>0</v>
      </c>
      <c r="AW14" s="54">
        <v>300</v>
      </c>
      <c r="AX14" s="54">
        <v>99.016712379379612</v>
      </c>
      <c r="AY14" s="54">
        <v>41.960969063241514</v>
      </c>
      <c r="AZ14" s="54">
        <v>32.78488887960004</v>
      </c>
      <c r="BA14" s="54">
        <v>0</v>
      </c>
      <c r="BB14" s="54">
        <v>0</v>
      </c>
      <c r="BD14" s="54">
        <f t="shared" si="10"/>
        <v>-1996.1256076665029</v>
      </c>
      <c r="BE14" s="54">
        <f t="shared" si="11"/>
        <v>-1996.1256076665029</v>
      </c>
      <c r="BF14" s="54">
        <f t="shared" si="12"/>
        <v>-14.096932257531801</v>
      </c>
      <c r="BG14" s="54">
        <f t="shared" si="13"/>
        <v>-14.096932257531801</v>
      </c>
    </row>
    <row r="15" spans="2:62" x14ac:dyDescent="0.25">
      <c r="B15" s="93">
        <v>1758.2417582417577</v>
      </c>
      <c r="C15" s="95">
        <v>2609.2679655042552</v>
      </c>
      <c r="D15" s="95">
        <v>108.53535723631744</v>
      </c>
      <c r="E15" s="95">
        <v>7040.3396638718859</v>
      </c>
      <c r="F15" s="94">
        <v>545.15089758999272</v>
      </c>
      <c r="H15" s="92">
        <f t="shared" si="0"/>
        <v>1758.2417582417577</v>
      </c>
      <c r="I15" s="54">
        <f t="shared" si="9"/>
        <v>18.427033654691069</v>
      </c>
      <c r="J15" s="64">
        <f t="shared" si="1"/>
        <v>49.719912880451176</v>
      </c>
      <c r="K15" s="2">
        <f t="shared" si="2"/>
        <v>108.53535723631744</v>
      </c>
      <c r="L15" s="64">
        <f t="shared" si="3"/>
        <v>545.15089758999272</v>
      </c>
      <c r="M15" s="56"/>
      <c r="N15" s="91">
        <v>3392.8342011445757</v>
      </c>
      <c r="O15" s="90">
        <v>9154.5619365479797</v>
      </c>
      <c r="P15" s="54">
        <f t="shared" si="4"/>
        <v>3.3928342011445758</v>
      </c>
      <c r="Q15" s="54">
        <f t="shared" si="5"/>
        <v>9.1545619365479798</v>
      </c>
      <c r="R15" s="90">
        <v>0.86518816232368789</v>
      </c>
      <c r="S15" s="89">
        <v>0.41429455172568236</v>
      </c>
      <c r="T15" s="88">
        <v>16.31549212623403</v>
      </c>
      <c r="U15" s="87">
        <f t="shared" si="6"/>
        <v>1.6315492126234031E-2</v>
      </c>
      <c r="W15" s="101"/>
      <c r="X15" s="56"/>
      <c r="Y15" s="56"/>
      <c r="Z15" s="56"/>
      <c r="AA15" s="56"/>
      <c r="AB15" s="99"/>
      <c r="AO15" s="91">
        <v>512.34613583929331</v>
      </c>
      <c r="AP15" s="89">
        <v>12925.71119221666</v>
      </c>
      <c r="AQ15" s="5">
        <f t="shared" si="7"/>
        <v>0.51234613583929334</v>
      </c>
      <c r="AR15" s="41">
        <f t="shared" si="8"/>
        <v>12.92571119221666</v>
      </c>
      <c r="AT15" s="54">
        <v>0</v>
      </c>
      <c r="AU15" s="54">
        <v>0</v>
      </c>
      <c r="AW15" s="54">
        <v>300</v>
      </c>
      <c r="AX15" s="54">
        <v>108.67035087570125</v>
      </c>
      <c r="AY15" s="54">
        <v>46.065485019850492</v>
      </c>
      <c r="AZ15" s="54">
        <v>36.427654310666711</v>
      </c>
      <c r="BA15" s="54">
        <v>0</v>
      </c>
      <c r="BB15" s="54">
        <v>0</v>
      </c>
      <c r="BD15" s="54">
        <f t="shared" si="10"/>
        <v>-1836.2294385490168</v>
      </c>
      <c r="BE15" s="54">
        <f t="shared" si="11"/>
        <v>-1836.2294385490168</v>
      </c>
      <c r="BF15" s="54">
        <f t="shared" si="12"/>
        <v>-12.967722023651248</v>
      </c>
      <c r="BG15" s="54">
        <f t="shared" si="13"/>
        <v>-12.967722023651248</v>
      </c>
    </row>
    <row r="16" spans="2:62" x14ac:dyDescent="0.25">
      <c r="B16" s="93">
        <v>1934.0659340659338</v>
      </c>
      <c r="C16" s="95">
        <v>2606.8882707509592</v>
      </c>
      <c r="D16" s="95">
        <v>108.45807229795207</v>
      </c>
      <c r="E16" s="95">
        <v>7039.6927415687605</v>
      </c>
      <c r="F16" s="94">
        <v>545.13551601353913</v>
      </c>
      <c r="H16" s="92">
        <f t="shared" si="0"/>
        <v>1934.0659340659338</v>
      </c>
      <c r="I16" s="54">
        <f t="shared" si="9"/>
        <v>18.41022790078361</v>
      </c>
      <c r="J16" s="64">
        <f t="shared" si="1"/>
        <v>49.715344220118368</v>
      </c>
      <c r="K16" s="2">
        <f t="shared" si="2"/>
        <v>108.45807229795207</v>
      </c>
      <c r="L16" s="64">
        <f t="shared" si="3"/>
        <v>545.13551601353913</v>
      </c>
      <c r="M16" s="56"/>
      <c r="N16" s="91">
        <v>3728.7138693870875</v>
      </c>
      <c r="O16" s="90">
        <v>10069.092816988881</v>
      </c>
      <c r="P16" s="54">
        <f t="shared" si="4"/>
        <v>3.7287138693870876</v>
      </c>
      <c r="Q16" s="54">
        <f t="shared" si="5"/>
        <v>10.069092816988881</v>
      </c>
      <c r="R16" s="90">
        <v>0.87547214630307812</v>
      </c>
      <c r="S16" s="89">
        <v>0.4375392567057817</v>
      </c>
      <c r="T16" s="88">
        <v>18.755400456169966</v>
      </c>
      <c r="U16" s="87">
        <f t="shared" si="6"/>
        <v>1.8755400456169965E-2</v>
      </c>
      <c r="W16" s="105" t="s">
        <v>244</v>
      </c>
      <c r="X16" s="56"/>
      <c r="Y16" s="56"/>
      <c r="Z16" s="56"/>
      <c r="AA16" s="56"/>
      <c r="AB16" s="99"/>
      <c r="AO16" s="91">
        <v>511.61674142408992</v>
      </c>
      <c r="AP16" s="89">
        <v>12924.981797801463</v>
      </c>
      <c r="AQ16" s="5">
        <f t="shared" si="7"/>
        <v>0.51161674142408997</v>
      </c>
      <c r="AR16" s="41">
        <f t="shared" si="8"/>
        <v>12.924981797801463</v>
      </c>
      <c r="AT16" s="54">
        <v>0</v>
      </c>
      <c r="AU16" s="54">
        <v>0</v>
      </c>
      <c r="AW16" s="54">
        <v>300</v>
      </c>
      <c r="AX16" s="54">
        <v>118.37993531236036</v>
      </c>
      <c r="AY16" s="54">
        <v>50.169511240550868</v>
      </c>
      <c r="AZ16" s="54">
        <v>40.070419741733389</v>
      </c>
      <c r="BA16" s="54">
        <v>0</v>
      </c>
      <c r="BB16" s="54">
        <v>0</v>
      </c>
      <c r="BD16" s="54">
        <f t="shared" si="10"/>
        <v>-1700.001925649525</v>
      </c>
      <c r="BE16" s="54">
        <f t="shared" si="11"/>
        <v>-1700.001925649525</v>
      </c>
      <c r="BF16" s="54">
        <f t="shared" si="12"/>
        <v>-12.005663316733933</v>
      </c>
      <c r="BG16" s="54">
        <f t="shared" si="13"/>
        <v>-12.005663316733933</v>
      </c>
    </row>
    <row r="17" spans="2:59" ht="13.8" thickBot="1" x14ac:dyDescent="0.3">
      <c r="B17" s="93">
        <v>2109.8901098901097</v>
      </c>
      <c r="C17" s="95">
        <v>2604.3976833200991</v>
      </c>
      <c r="D17" s="95">
        <v>108.37607170211494</v>
      </c>
      <c r="E17" s="95">
        <v>7039.0408912841312</v>
      </c>
      <c r="F17" s="94">
        <v>545.11920741278391</v>
      </c>
      <c r="H17" s="92">
        <f t="shared" si="0"/>
        <v>2109.8901098901097</v>
      </c>
      <c r="I17" s="54">
        <f t="shared" si="9"/>
        <v>18.392639006497877</v>
      </c>
      <c r="J17" s="64">
        <f t="shared" si="1"/>
        <v>49.710740757656296</v>
      </c>
      <c r="K17" s="2">
        <f t="shared" si="2"/>
        <v>108.37607170211494</v>
      </c>
      <c r="L17" s="64">
        <f t="shared" si="3"/>
        <v>545.11920741278391</v>
      </c>
      <c r="M17" s="56"/>
      <c r="N17" s="91">
        <v>4063.8016409981742</v>
      </c>
      <c r="O17" s="90">
        <v>10983.44776923145</v>
      </c>
      <c r="P17" s="54">
        <f t="shared" si="4"/>
        <v>4.0638016409981743</v>
      </c>
      <c r="Q17" s="54">
        <f t="shared" si="5"/>
        <v>10.98344776923145</v>
      </c>
      <c r="R17" s="90">
        <v>0.88420580449592534</v>
      </c>
      <c r="S17" s="89">
        <v>0.45899791701895792</v>
      </c>
      <c r="T17" s="88">
        <v>21.342283171071809</v>
      </c>
      <c r="U17" s="87">
        <f t="shared" si="6"/>
        <v>2.134228317107181E-2</v>
      </c>
      <c r="W17" s="98"/>
      <c r="X17" s="97"/>
      <c r="Y17" s="97"/>
      <c r="Z17" s="97"/>
      <c r="AA17" s="97"/>
      <c r="AB17" s="96"/>
      <c r="AO17" s="91">
        <v>510.84340999114806</v>
      </c>
      <c r="AP17" s="89">
        <v>12924.208466368518</v>
      </c>
      <c r="AQ17" s="5">
        <f t="shared" si="7"/>
        <v>0.51084340999114808</v>
      </c>
      <c r="AR17" s="41">
        <f t="shared" si="8"/>
        <v>12.924208466368519</v>
      </c>
      <c r="AT17" s="54">
        <v>0</v>
      </c>
      <c r="AU17" s="54">
        <v>0</v>
      </c>
      <c r="AW17" s="54">
        <v>300</v>
      </c>
      <c r="AX17" s="54">
        <v>128.1325445702735</v>
      </c>
      <c r="AY17" s="54">
        <v>54.272669150657421</v>
      </c>
      <c r="AZ17" s="54">
        <v>43.71318517280006</v>
      </c>
      <c r="BA17" s="54">
        <v>0</v>
      </c>
      <c r="BB17" s="54">
        <v>0</v>
      </c>
      <c r="BD17" s="54">
        <f t="shared" si="10"/>
        <v>-1582.5496813984528</v>
      </c>
      <c r="BE17" s="54">
        <f t="shared" si="11"/>
        <v>-1582.5496813984528</v>
      </c>
      <c r="BF17" s="54">
        <f t="shared" si="12"/>
        <v>-11.176198314960825</v>
      </c>
      <c r="BG17" s="54">
        <f t="shared" si="13"/>
        <v>-11.176198314960825</v>
      </c>
    </row>
    <row r="18" spans="2:59" x14ac:dyDescent="0.25">
      <c r="B18" s="93">
        <v>2285.7142857142853</v>
      </c>
      <c r="C18" s="95">
        <v>2601.7959204082917</v>
      </c>
      <c r="D18" s="95">
        <v>108.28934473620907</v>
      </c>
      <c r="E18" s="95">
        <v>7038.3841125756862</v>
      </c>
      <c r="F18" s="94">
        <v>545.10197170452182</v>
      </c>
      <c r="H18" s="92">
        <f t="shared" si="0"/>
        <v>2285.7142857142853</v>
      </c>
      <c r="I18" s="54">
        <f t="shared" si="9"/>
        <v>18.37426497463483</v>
      </c>
      <c r="J18" s="64">
        <f t="shared" si="1"/>
        <v>49.706102489941287</v>
      </c>
      <c r="K18" s="2">
        <f t="shared" si="2"/>
        <v>108.28934473620907</v>
      </c>
      <c r="L18" s="64">
        <f t="shared" si="3"/>
        <v>545.10197170452182</v>
      </c>
      <c r="M18" s="56"/>
      <c r="N18" s="91">
        <v>4398.0537797657153</v>
      </c>
      <c r="O18" s="90">
        <v>11897.62487016997</v>
      </c>
      <c r="P18" s="54">
        <f t="shared" si="4"/>
        <v>4.3980537797657151</v>
      </c>
      <c r="Q18" s="54">
        <f t="shared" si="5"/>
        <v>11.89762487016997</v>
      </c>
      <c r="R18" s="90">
        <v>0.89170952807698145</v>
      </c>
      <c r="S18" s="89">
        <v>0.47886826538418303</v>
      </c>
      <c r="T18" s="88">
        <v>24.076140270939568</v>
      </c>
      <c r="U18" s="87">
        <f t="shared" si="6"/>
        <v>2.4076140270939569E-2</v>
      </c>
      <c r="AO18" s="91">
        <v>510.02614154046819</v>
      </c>
      <c r="AP18" s="89">
        <v>12923.391197917839</v>
      </c>
      <c r="AQ18" s="5">
        <f t="shared" si="7"/>
        <v>0.51002614154046821</v>
      </c>
      <c r="AR18" s="41">
        <f t="shared" si="8"/>
        <v>12.923391197917839</v>
      </c>
      <c r="AT18" s="54">
        <v>0</v>
      </c>
      <c r="AU18" s="54">
        <v>0</v>
      </c>
      <c r="AW18" s="54">
        <v>300</v>
      </c>
      <c r="AX18" s="54">
        <v>137.91884890051242</v>
      </c>
      <c r="AY18" s="54">
        <v>58.374655910575875</v>
      </c>
      <c r="AZ18" s="54">
        <v>47.355950603866731</v>
      </c>
      <c r="BA18" s="54">
        <v>0</v>
      </c>
      <c r="BB18" s="54">
        <v>0</v>
      </c>
      <c r="BD18" s="54">
        <f t="shared" si="10"/>
        <v>-1480.2412540783184</v>
      </c>
      <c r="BE18" s="54">
        <f t="shared" si="11"/>
        <v>-1480.2412540783184</v>
      </c>
      <c r="BF18" s="54">
        <f t="shared" si="12"/>
        <v>-10.45368117286948</v>
      </c>
      <c r="BG18" s="54">
        <f t="shared" si="13"/>
        <v>-10.45368117286948</v>
      </c>
    </row>
    <row r="19" spans="2:59" ht="13.8" thickBot="1" x14ac:dyDescent="0.3">
      <c r="B19" s="93">
        <v>2461.538461538461</v>
      </c>
      <c r="C19" s="95">
        <v>2599.0826819789663</v>
      </c>
      <c r="D19" s="95">
        <v>108.19788003484412</v>
      </c>
      <c r="E19" s="95">
        <v>7037.7224049759088</v>
      </c>
      <c r="F19" s="94">
        <v>545.08380880080654</v>
      </c>
      <c r="H19" s="92">
        <f t="shared" si="0"/>
        <v>2461.538461538461</v>
      </c>
      <c r="I19" s="54">
        <f t="shared" si="9"/>
        <v>18.355103686292136</v>
      </c>
      <c r="J19" s="64">
        <f t="shared" si="1"/>
        <v>49.701429413671676</v>
      </c>
      <c r="K19" s="2">
        <f t="shared" si="2"/>
        <v>108.19788003484412</v>
      </c>
      <c r="L19" s="64">
        <f t="shared" si="3"/>
        <v>545.08380880080654</v>
      </c>
      <c r="M19" s="56"/>
      <c r="N19" s="91">
        <v>4731.4263710140958</v>
      </c>
      <c r="O19" s="90">
        <v>12811.622196422775</v>
      </c>
      <c r="P19" s="54">
        <f t="shared" si="4"/>
        <v>4.7314263710140958</v>
      </c>
      <c r="Q19" s="54">
        <f t="shared" si="5"/>
        <v>12.811622196422775</v>
      </c>
      <c r="R19" s="90">
        <v>0.89822107632303394</v>
      </c>
      <c r="S19" s="89">
        <v>0.49731988526487014</v>
      </c>
      <c r="T19" s="88">
        <v>26.956971755773242</v>
      </c>
      <c r="U19" s="87">
        <f t="shared" si="6"/>
        <v>2.6956971755773242E-2</v>
      </c>
      <c r="AO19" s="91">
        <v>509.16493607205024</v>
      </c>
      <c r="AP19" s="89">
        <v>12922.529992449419</v>
      </c>
      <c r="AQ19" s="5">
        <f t="shared" si="7"/>
        <v>0.50916493607205027</v>
      </c>
      <c r="AR19" s="41">
        <f t="shared" si="8"/>
        <v>12.922529992449419</v>
      </c>
      <c r="AT19" s="54">
        <v>0</v>
      </c>
      <c r="AU19" s="54">
        <v>0</v>
      </c>
      <c r="AW19" s="54">
        <v>300</v>
      </c>
      <c r="AX19" s="54">
        <v>147.73194985686351</v>
      </c>
      <c r="AY19" s="54">
        <v>62.475219465623191</v>
      </c>
      <c r="AZ19" s="54">
        <v>50.998716034933402</v>
      </c>
      <c r="BA19" s="54">
        <v>0</v>
      </c>
      <c r="BB19" s="54">
        <v>0</v>
      </c>
      <c r="BD19" s="54">
        <f t="shared" si="10"/>
        <v>-1390.3249714310246</v>
      </c>
      <c r="BE19" s="54">
        <f t="shared" si="11"/>
        <v>-1390.3249714310246</v>
      </c>
      <c r="BF19" s="54">
        <f t="shared" si="12"/>
        <v>-9.8186791767727719</v>
      </c>
      <c r="BG19" s="54">
        <f t="shared" si="13"/>
        <v>-9.8186791767727719</v>
      </c>
    </row>
    <row r="20" spans="2:59" x14ac:dyDescent="0.25">
      <c r="B20" s="93">
        <v>2637.3626373626371</v>
      </c>
      <c r="C20" s="95">
        <v>2596.2576505618886</v>
      </c>
      <c r="D20" s="95">
        <v>108.10166557224227</v>
      </c>
      <c r="E20" s="95">
        <v>7037.055767992073</v>
      </c>
      <c r="F20" s="94">
        <v>545.06471860894885</v>
      </c>
      <c r="H20" s="92">
        <f t="shared" si="0"/>
        <v>2637.3626373626371</v>
      </c>
      <c r="I20" s="54">
        <f t="shared" si="9"/>
        <v>18.335152899448367</v>
      </c>
      <c r="J20" s="64">
        <f t="shared" si="1"/>
        <v>49.696721525367749</v>
      </c>
      <c r="K20" s="2">
        <f t="shared" si="2"/>
        <v>108.10166557224227</v>
      </c>
      <c r="L20" s="64">
        <f t="shared" si="3"/>
        <v>545.06471860894885</v>
      </c>
      <c r="M20" s="56"/>
      <c r="N20" s="91">
        <v>5063.8753100090171</v>
      </c>
      <c r="O20" s="90">
        <v>13725.437824315872</v>
      </c>
      <c r="P20" s="54">
        <f t="shared" si="4"/>
        <v>5.063875310009017</v>
      </c>
      <c r="Q20" s="54">
        <f t="shared" si="5"/>
        <v>13.725437824315872</v>
      </c>
      <c r="R20" s="90">
        <v>0.90392060018730813</v>
      </c>
      <c r="S20" s="89">
        <v>0.51449904788059253</v>
      </c>
      <c r="T20" s="88">
        <v>29.984777625572828</v>
      </c>
      <c r="U20" s="87">
        <f t="shared" si="6"/>
        <v>2.998477762557283E-2</v>
      </c>
      <c r="W20" s="104" t="s">
        <v>243</v>
      </c>
      <c r="X20" s="103" t="str">
        <f xml:space="preserve"> " Simulated Torque Speed Curve for a " &amp; X21 &amp; " with a " &amp;X22 &amp; " at " &amp; INT(X23) &amp;"VDC"</f>
        <v xml:space="preserve"> Simulated Torque Speed Curve for a GVK142-050M6 with a GenericAmp at 300VDC</v>
      </c>
      <c r="Y20" s="103"/>
      <c r="Z20" s="103"/>
      <c r="AA20" s="103"/>
      <c r="AB20" s="103"/>
      <c r="AC20" s="103"/>
      <c r="AD20" s="102"/>
      <c r="AO20" s="91">
        <v>508.25979358589382</v>
      </c>
      <c r="AP20" s="89">
        <v>12921.62484996326</v>
      </c>
      <c r="AQ20" s="5">
        <f t="shared" si="7"/>
        <v>0.50825979358589379</v>
      </c>
      <c r="AR20" s="41">
        <f t="shared" si="8"/>
        <v>12.92162484996326</v>
      </c>
      <c r="AT20" s="54">
        <v>0</v>
      </c>
      <c r="AU20" s="54">
        <v>0</v>
      </c>
      <c r="AW20" s="54">
        <v>300</v>
      </c>
      <c r="AX20" s="54">
        <v>157.56663904324418</v>
      </c>
      <c r="AY20" s="54">
        <v>66.574142819878134</v>
      </c>
      <c r="AZ20" s="54">
        <v>54.641481466000073</v>
      </c>
      <c r="BA20" s="54">
        <v>0</v>
      </c>
      <c r="BB20" s="54">
        <v>0</v>
      </c>
      <c r="BD20" s="54">
        <f t="shared" si="10"/>
        <v>-1310.6777290499165</v>
      </c>
      <c r="BE20" s="54">
        <f t="shared" si="11"/>
        <v>-1310.6777290499165</v>
      </c>
      <c r="BF20" s="54">
        <f t="shared" si="12"/>
        <v>-9.2561986514824621</v>
      </c>
      <c r="BG20" s="54">
        <f t="shared" si="13"/>
        <v>-9.2561986514824621</v>
      </c>
    </row>
    <row r="21" spans="2:59" x14ac:dyDescent="0.25">
      <c r="B21" s="93">
        <v>2813.1868131868127</v>
      </c>
      <c r="C21" s="95">
        <v>2593.3204910398922</v>
      </c>
      <c r="D21" s="95">
        <v>108.00068865415956</v>
      </c>
      <c r="E21" s="95">
        <v>7036.3842011062234</v>
      </c>
      <c r="F21" s="94">
        <v>545.04470103151402</v>
      </c>
      <c r="H21" s="92">
        <f t="shared" si="0"/>
        <v>2813.1868131868127</v>
      </c>
      <c r="I21" s="54">
        <f t="shared" si="9"/>
        <v>18.314410247456866</v>
      </c>
      <c r="J21" s="64">
        <f t="shared" si="1"/>
        <v>49.691978821371634</v>
      </c>
      <c r="K21" s="2">
        <f t="shared" si="2"/>
        <v>108.00068865415956</v>
      </c>
      <c r="L21" s="64">
        <f t="shared" si="3"/>
        <v>545.04470103151402</v>
      </c>
      <c r="M21" s="56"/>
      <c r="N21" s="91">
        <v>5395.356290179292</v>
      </c>
      <c r="O21" s="90">
        <v>14639.069829866497</v>
      </c>
      <c r="P21" s="54">
        <f t="shared" si="4"/>
        <v>5.3953562901792917</v>
      </c>
      <c r="Q21" s="54">
        <f t="shared" si="5"/>
        <v>14.639069829866498</v>
      </c>
      <c r="R21" s="90">
        <v>0.90894709161021658</v>
      </c>
      <c r="S21" s="89">
        <v>0.53053258495913058</v>
      </c>
      <c r="T21" s="88">
        <v>33.159557880338326</v>
      </c>
      <c r="U21" s="87">
        <f t="shared" si="6"/>
        <v>3.3159557880338329E-2</v>
      </c>
      <c r="W21" s="101"/>
      <c r="X21" s="56" t="str">
        <f>MotorSpecs1!$C$3</f>
        <v>GVK142-050M6</v>
      </c>
      <c r="Y21" s="56"/>
      <c r="Z21" s="56"/>
      <c r="AA21" s="56"/>
      <c r="AB21" s="56"/>
      <c r="AC21" s="56"/>
      <c r="AD21" s="99"/>
      <c r="AO21" s="91">
        <v>507.31071408199921</v>
      </c>
      <c r="AP21" s="89">
        <v>12920.675770459371</v>
      </c>
      <c r="AQ21" s="5">
        <f t="shared" si="7"/>
        <v>0.50731071408199924</v>
      </c>
      <c r="AR21" s="41">
        <f t="shared" si="8"/>
        <v>12.920675770459372</v>
      </c>
      <c r="AT21" s="54">
        <v>0</v>
      </c>
      <c r="AU21" s="54">
        <v>0</v>
      </c>
      <c r="AW21" s="54">
        <v>300</v>
      </c>
      <c r="AX21" s="54">
        <v>167.41891060032663</v>
      </c>
      <c r="AY21" s="54">
        <v>70.671233786267663</v>
      </c>
      <c r="AZ21" s="54">
        <v>58.284246897066744</v>
      </c>
      <c r="BA21" s="54">
        <v>0</v>
      </c>
      <c r="BB21" s="54">
        <v>0</v>
      </c>
      <c r="BD21" s="54">
        <f t="shared" si="10"/>
        <v>-1239.6352055929376</v>
      </c>
      <c r="BE21" s="54">
        <f t="shared" si="11"/>
        <v>-1239.6352055929376</v>
      </c>
      <c r="BF21" s="54">
        <f t="shared" si="12"/>
        <v>-8.7544859152043628</v>
      </c>
      <c r="BG21" s="54">
        <f t="shared" si="13"/>
        <v>-8.7544859152043628</v>
      </c>
    </row>
    <row r="22" spans="2:59" x14ac:dyDescent="0.25">
      <c r="B22" s="93">
        <v>2989.0109890109884</v>
      </c>
      <c r="C22" s="95">
        <v>2590.2708504224561</v>
      </c>
      <c r="D22" s="95">
        <v>107.8949359093091</v>
      </c>
      <c r="E22" s="95">
        <v>7035.7077037751624</v>
      </c>
      <c r="F22" s="94">
        <v>545.02375596631896</v>
      </c>
      <c r="H22" s="92">
        <f t="shared" si="0"/>
        <v>2989.0109890109884</v>
      </c>
      <c r="I22" s="54">
        <f t="shared" si="9"/>
        <v>18.292873237446724</v>
      </c>
      <c r="J22" s="64">
        <f t="shared" si="1"/>
        <v>49.687201297847196</v>
      </c>
      <c r="K22" s="2">
        <f t="shared" si="2"/>
        <v>107.8949359093091</v>
      </c>
      <c r="L22" s="64">
        <f t="shared" si="3"/>
        <v>545.02375596631896</v>
      </c>
      <c r="M22" s="56"/>
      <c r="N22" s="91">
        <v>5725.824791143169</v>
      </c>
      <c r="O22" s="90">
        <v>15552.516288766694</v>
      </c>
      <c r="P22" s="54">
        <f t="shared" si="4"/>
        <v>5.725824791143169</v>
      </c>
      <c r="Q22" s="54">
        <f t="shared" si="5"/>
        <v>15.552516288766695</v>
      </c>
      <c r="R22" s="90">
        <v>0.91340950100215257</v>
      </c>
      <c r="S22" s="89">
        <v>0.54553101428032158</v>
      </c>
      <c r="T22" s="88">
        <v>36.481312520069729</v>
      </c>
      <c r="U22" s="87">
        <f t="shared" si="6"/>
        <v>3.6481312520069732E-2</v>
      </c>
      <c r="W22" s="101"/>
      <c r="X22" s="56" t="str">
        <f>MotorSpecs1!$C$4</f>
        <v>GenericAmp</v>
      </c>
      <c r="Y22" s="56"/>
      <c r="Z22" s="56"/>
      <c r="AA22" s="56"/>
      <c r="AB22" s="56"/>
      <c r="AC22" s="56"/>
      <c r="AD22" s="99"/>
      <c r="AO22" s="91">
        <v>506.3176975603663</v>
      </c>
      <c r="AP22" s="89">
        <v>12919.682753937732</v>
      </c>
      <c r="AQ22" s="5">
        <f t="shared" si="7"/>
        <v>0.50631769756036626</v>
      </c>
      <c r="AR22" s="41">
        <f t="shared" si="8"/>
        <v>12.919682753937732</v>
      </c>
      <c r="AT22" s="54">
        <v>0</v>
      </c>
      <c r="AU22" s="54">
        <v>0</v>
      </c>
      <c r="AW22" s="54">
        <v>300</v>
      </c>
      <c r="AX22" s="54">
        <v>177.28563222152638</v>
      </c>
      <c r="AY22" s="54">
        <v>74.766318109363084</v>
      </c>
      <c r="AZ22" s="54">
        <v>61.927012328133415</v>
      </c>
      <c r="BA22" s="54">
        <v>0</v>
      </c>
      <c r="BB22" s="54">
        <v>0</v>
      </c>
      <c r="BD22" s="54">
        <f t="shared" si="10"/>
        <v>-1175.8742907462447</v>
      </c>
      <c r="BE22" s="54">
        <f t="shared" si="11"/>
        <v>-1175.8742907462447</v>
      </c>
      <c r="BF22" s="54">
        <f t="shared" si="12"/>
        <v>-8.3041969685469255</v>
      </c>
      <c r="BG22" s="54">
        <f t="shared" si="13"/>
        <v>-8.3041969685469255</v>
      </c>
    </row>
    <row r="23" spans="2:59" x14ac:dyDescent="0.25">
      <c r="B23" s="93">
        <v>3164.8351648351645</v>
      </c>
      <c r="C23" s="95">
        <v>2587.1083576057886</v>
      </c>
      <c r="D23" s="95">
        <v>107.78439328027289</v>
      </c>
      <c r="E23" s="95">
        <v>7035.0262754304476</v>
      </c>
      <c r="F23" s="94">
        <v>545.00188330643061</v>
      </c>
      <c r="H23" s="92">
        <f t="shared" si="0"/>
        <v>3164.8351648351645</v>
      </c>
      <c r="I23" s="54">
        <f t="shared" si="9"/>
        <v>18.270539248628452</v>
      </c>
      <c r="J23" s="64">
        <f t="shared" si="1"/>
        <v>49.682388950780002</v>
      </c>
      <c r="K23" s="2">
        <f t="shared" si="2"/>
        <v>107.78439328027289</v>
      </c>
      <c r="L23" s="64">
        <f t="shared" si="3"/>
        <v>545.00188330643061</v>
      </c>
      <c r="M23" s="56"/>
      <c r="N23" s="91">
        <v>6055.2360665264287</v>
      </c>
      <c r="O23" s="90">
        <v>16465.775276366887</v>
      </c>
      <c r="P23" s="54">
        <f t="shared" si="4"/>
        <v>6.0552360665264287</v>
      </c>
      <c r="Q23" s="54">
        <f t="shared" si="5"/>
        <v>16.465775276366887</v>
      </c>
      <c r="R23" s="90">
        <v>0.91739443583530622</v>
      </c>
      <c r="S23" s="89">
        <v>0.55959108096560162</v>
      </c>
      <c r="T23" s="88">
        <v>39.950041544767068</v>
      </c>
      <c r="U23" s="87">
        <f t="shared" si="6"/>
        <v>3.995004154476707E-2</v>
      </c>
      <c r="W23" s="101"/>
      <c r="X23" s="100" t="str">
        <f>MotorSpecs1!$F$48</f>
        <v>300.0</v>
      </c>
      <c r="Y23" s="56"/>
      <c r="Z23" s="56"/>
      <c r="AA23" s="56"/>
      <c r="AB23" s="56"/>
      <c r="AC23" s="56"/>
      <c r="AD23" s="99"/>
      <c r="AO23" s="91">
        <v>505.28074402099514</v>
      </c>
      <c r="AP23" s="89">
        <v>12918.645800398364</v>
      </c>
      <c r="AQ23" s="5">
        <f t="shared" si="7"/>
        <v>0.50528074402099521</v>
      </c>
      <c r="AR23" s="41">
        <f t="shared" si="8"/>
        <v>12.918645800398364</v>
      </c>
      <c r="AT23" s="54">
        <v>0</v>
      </c>
      <c r="AU23" s="54">
        <v>0</v>
      </c>
      <c r="AW23" s="54">
        <v>300</v>
      </c>
      <c r="AX23" s="54">
        <v>187.16431798913598</v>
      </c>
      <c r="AY23" s="54">
        <v>78.859234732469659</v>
      </c>
      <c r="AZ23" s="54">
        <v>65.569777759200079</v>
      </c>
      <c r="BA23" s="54">
        <v>0</v>
      </c>
      <c r="BB23" s="54">
        <v>0</v>
      </c>
      <c r="BD23" s="54">
        <f t="shared" si="10"/>
        <v>-1118.3299065182587</v>
      </c>
      <c r="BE23" s="54">
        <f t="shared" si="11"/>
        <v>-1118.3299065182587</v>
      </c>
      <c r="BF23" s="54">
        <f t="shared" si="12"/>
        <v>-7.8978100742814883</v>
      </c>
      <c r="BG23" s="54">
        <f t="shared" si="13"/>
        <v>-7.8978100742814883</v>
      </c>
    </row>
    <row r="24" spans="2:59" ht="13.8" thickBot="1" x14ac:dyDescent="0.3">
      <c r="B24" s="93">
        <v>3340.6593406593402</v>
      </c>
      <c r="C24" s="95">
        <v>2583.8326231190008</v>
      </c>
      <c r="D24" s="95">
        <v>107.66904601388723</v>
      </c>
      <c r="E24" s="95">
        <v>7034.3399154783547</v>
      </c>
      <c r="F24" s="94">
        <v>544.97908294016224</v>
      </c>
      <c r="H24" s="92">
        <f t="shared" si="0"/>
        <v>3340.6593406593402</v>
      </c>
      <c r="I24" s="54">
        <f t="shared" si="9"/>
        <v>18.247405530501418</v>
      </c>
      <c r="J24" s="64">
        <f t="shared" si="1"/>
        <v>49.677541775977083</v>
      </c>
      <c r="K24" s="2">
        <f t="shared" si="2"/>
        <v>107.66904601388723</v>
      </c>
      <c r="L24" s="64">
        <f t="shared" si="3"/>
        <v>544.97908294016224</v>
      </c>
      <c r="M24" s="56"/>
      <c r="N24" s="91">
        <v>6383.5451315589344</v>
      </c>
      <c r="O24" s="90">
        <v>17378.844867659387</v>
      </c>
      <c r="P24" s="54">
        <f t="shared" si="4"/>
        <v>6.3835451315589342</v>
      </c>
      <c r="Q24" s="54">
        <f t="shared" si="5"/>
        <v>17.378844867659389</v>
      </c>
      <c r="R24" s="90">
        <v>0.92097160715986748</v>
      </c>
      <c r="S24" s="89">
        <v>0.57279783807986251</v>
      </c>
      <c r="T24" s="88">
        <v>43.565744954430301</v>
      </c>
      <c r="U24" s="87">
        <f t="shared" si="6"/>
        <v>4.3565744954430302E-2</v>
      </c>
      <c r="W24" s="98"/>
      <c r="X24" s="97"/>
      <c r="Y24" s="97"/>
      <c r="Z24" s="97"/>
      <c r="AA24" s="97"/>
      <c r="AB24" s="97"/>
      <c r="AC24" s="97"/>
      <c r="AD24" s="96"/>
      <c r="AO24" s="91">
        <v>504.1998534638858</v>
      </c>
      <c r="AP24" s="89">
        <v>12917.564909841252</v>
      </c>
      <c r="AQ24" s="5">
        <f t="shared" si="7"/>
        <v>0.50419985346388585</v>
      </c>
      <c r="AR24" s="41">
        <f t="shared" si="8"/>
        <v>12.917564909841252</v>
      </c>
      <c r="AT24" s="54">
        <v>0</v>
      </c>
      <c r="AU24" s="54">
        <v>0</v>
      </c>
      <c r="AW24" s="54">
        <v>300</v>
      </c>
      <c r="AX24" s="54">
        <v>197.05296825347691</v>
      </c>
      <c r="AY24" s="54">
        <v>82.949832466468465</v>
      </c>
      <c r="AZ24" s="54">
        <v>69.212543190266757</v>
      </c>
      <c r="BA24" s="54">
        <v>0</v>
      </c>
      <c r="BB24" s="54">
        <v>0</v>
      </c>
      <c r="BD24" s="54">
        <f t="shared" si="10"/>
        <v>-1066.1350296196031</v>
      </c>
      <c r="BE24" s="54">
        <f t="shared" si="11"/>
        <v>-1066.1350296196031</v>
      </c>
      <c r="BF24" s="54">
        <f t="shared" si="12"/>
        <v>-7.5292021865791181</v>
      </c>
      <c r="BG24" s="54">
        <f t="shared" si="13"/>
        <v>-7.5292021865791181</v>
      </c>
    </row>
    <row r="25" spans="2:59" x14ac:dyDescent="0.25">
      <c r="B25" s="93">
        <v>3516.4835164835154</v>
      </c>
      <c r="C25" s="95">
        <v>2580.4432388559881</v>
      </c>
      <c r="D25" s="95">
        <v>107.5488786510859</v>
      </c>
      <c r="E25" s="95">
        <v>7033.6486232998886</v>
      </c>
      <c r="F25" s="94">
        <v>544.95535475107113</v>
      </c>
      <c r="H25" s="92">
        <f t="shared" si="0"/>
        <v>3516.4835164835154</v>
      </c>
      <c r="I25" s="54">
        <f t="shared" si="9"/>
        <v>18.22346920096037</v>
      </c>
      <c r="J25" s="64">
        <f t="shared" si="1"/>
        <v>49.67265976906701</v>
      </c>
      <c r="K25" s="2">
        <f t="shared" si="2"/>
        <v>107.5488786510859</v>
      </c>
      <c r="L25" s="64">
        <f t="shared" si="3"/>
        <v>544.95535475107113</v>
      </c>
      <c r="M25" s="56"/>
      <c r="N25" s="91">
        <v>6710.7067504359784</v>
      </c>
      <c r="O25" s="90">
        <v>18291.723137261968</v>
      </c>
      <c r="P25" s="54">
        <f t="shared" si="4"/>
        <v>6.7107067504359783</v>
      </c>
      <c r="Q25" s="54">
        <f t="shared" si="5"/>
        <v>18.291723137261968</v>
      </c>
      <c r="R25" s="90">
        <v>0.92419775691263162</v>
      </c>
      <c r="S25" s="89">
        <v>0.58522636112111281</v>
      </c>
      <c r="T25" s="88">
        <v>47.328422749059463</v>
      </c>
      <c r="U25" s="87">
        <f t="shared" si="6"/>
        <v>4.7328422749059462E-2</v>
      </c>
      <c r="AO25" s="91">
        <v>503.07502588903816</v>
      </c>
      <c r="AP25" s="89">
        <v>12916.44008226641</v>
      </c>
      <c r="AQ25" s="5">
        <f t="shared" si="7"/>
        <v>0.50307502588903819</v>
      </c>
      <c r="AR25" s="41">
        <f t="shared" si="8"/>
        <v>12.91644008226641</v>
      </c>
      <c r="AT25" s="54">
        <v>0</v>
      </c>
      <c r="AU25" s="54">
        <v>0</v>
      </c>
      <c r="AW25" s="54">
        <v>300</v>
      </c>
      <c r="AX25" s="54">
        <v>206.9499546568681</v>
      </c>
      <c r="AY25" s="54">
        <v>87.037967597775179</v>
      </c>
      <c r="AZ25" s="54">
        <v>72.855308621333421</v>
      </c>
      <c r="BA25" s="54">
        <v>0</v>
      </c>
      <c r="BB25" s="54">
        <v>0</v>
      </c>
      <c r="BD25" s="54">
        <f t="shared" si="10"/>
        <v>-1018.5767002528002</v>
      </c>
      <c r="BE25" s="54">
        <f t="shared" si="11"/>
        <v>-1018.5767002528002</v>
      </c>
      <c r="BF25" s="54">
        <f t="shared" si="12"/>
        <v>-7.1933382786214706</v>
      </c>
      <c r="BG25" s="54">
        <f t="shared" si="13"/>
        <v>-7.1933382786214706</v>
      </c>
    </row>
    <row r="26" spans="2:59" x14ac:dyDescent="0.25">
      <c r="B26" s="93">
        <v>3692.3076923076915</v>
      </c>
      <c r="C26" s="95">
        <v>2576.9397777925406</v>
      </c>
      <c r="D26" s="95">
        <v>107.42387501618458</v>
      </c>
      <c r="E26" s="95">
        <v>7032.952398250749</v>
      </c>
      <c r="F26" s="94">
        <v>544.93069861795504</v>
      </c>
      <c r="H26" s="92">
        <f t="shared" si="0"/>
        <v>3692.3076923076915</v>
      </c>
      <c r="I26" s="54">
        <f t="shared" si="9"/>
        <v>18.198727244297604</v>
      </c>
      <c r="J26" s="64">
        <f t="shared" si="1"/>
        <v>49.667742925499638</v>
      </c>
      <c r="K26" s="2">
        <f t="shared" si="2"/>
        <v>107.42387501618458</v>
      </c>
      <c r="L26" s="64">
        <f t="shared" si="3"/>
        <v>544.93069861795504</v>
      </c>
      <c r="M26" s="56"/>
      <c r="N26" s="91">
        <v>7036.6754234301243</v>
      </c>
      <c r="O26" s="90">
        <v>19204.408159401362</v>
      </c>
      <c r="P26" s="54">
        <f t="shared" si="4"/>
        <v>7.0366754234301245</v>
      </c>
      <c r="Q26" s="54">
        <f t="shared" si="5"/>
        <v>19.204408159401364</v>
      </c>
      <c r="R26" s="90">
        <v>0.92711953843484429</v>
      </c>
      <c r="S26" s="89">
        <v>0.5969431694164038</v>
      </c>
      <c r="T26" s="88">
        <v>51.238074928654527</v>
      </c>
      <c r="U26" s="87">
        <f t="shared" si="6"/>
        <v>5.123807492865453E-2</v>
      </c>
      <c r="AO26" s="91">
        <v>501.90626129645227</v>
      </c>
      <c r="AP26" s="89">
        <v>12915.27131767382</v>
      </c>
      <c r="AQ26" s="5">
        <f t="shared" si="7"/>
        <v>0.50190626129645233</v>
      </c>
      <c r="AR26" s="41">
        <f t="shared" si="8"/>
        <v>12.91527131767382</v>
      </c>
      <c r="AT26" s="54">
        <v>0</v>
      </c>
      <c r="AU26" s="54">
        <v>0</v>
      </c>
      <c r="AW26" s="54">
        <v>300</v>
      </c>
      <c r="AX26" s="54">
        <v>216.85393617937109</v>
      </c>
      <c r="AY26" s="54">
        <v>91.12350213934441</v>
      </c>
      <c r="AZ26" s="54">
        <v>76.498074052400113</v>
      </c>
      <c r="BA26" s="54">
        <v>0</v>
      </c>
      <c r="BB26" s="54">
        <v>0</v>
      </c>
      <c r="BD26" s="54">
        <f t="shared" si="10"/>
        <v>-975.0632575749961</v>
      </c>
      <c r="BE26" s="54">
        <f t="shared" si="11"/>
        <v>-975.0632575749961</v>
      </c>
      <c r="BF26" s="54">
        <f t="shared" si="12"/>
        <v>-6.8860399546256792</v>
      </c>
      <c r="BG26" s="54">
        <f t="shared" si="13"/>
        <v>-6.8860399546256792</v>
      </c>
    </row>
    <row r="27" spans="2:59" x14ac:dyDescent="0.25">
      <c r="B27" s="93">
        <v>3868.1318681318676</v>
      </c>
      <c r="C27" s="95">
        <v>2573.3217936882284</v>
      </c>
      <c r="D27" s="95">
        <v>107.29401820558823</v>
      </c>
      <c r="E27" s="95">
        <v>7032.251239661322</v>
      </c>
      <c r="F27" s="94">
        <v>544.90511441485</v>
      </c>
      <c r="H27" s="92">
        <f t="shared" si="0"/>
        <v>3868.1318681318676</v>
      </c>
      <c r="I27" s="54">
        <f t="shared" si="9"/>
        <v>18.173176509097658</v>
      </c>
      <c r="J27" s="64">
        <f t="shared" si="1"/>
        <v>49.662791240546063</v>
      </c>
      <c r="K27" s="2">
        <f t="shared" si="2"/>
        <v>107.29401820558823</v>
      </c>
      <c r="L27" s="64">
        <f t="shared" si="3"/>
        <v>544.90511441485</v>
      </c>
      <c r="M27" s="56"/>
      <c r="N27" s="91">
        <v>7361.4053737387812</v>
      </c>
      <c r="O27" s="90">
        <v>20116.898007896769</v>
      </c>
      <c r="P27" s="54">
        <f t="shared" si="4"/>
        <v>7.3614053737387817</v>
      </c>
      <c r="Q27" s="54">
        <f t="shared" si="5"/>
        <v>20.116898007896769</v>
      </c>
      <c r="R27" s="90">
        <v>0.92977566186674998</v>
      </c>
      <c r="S27" s="89">
        <v>0.60800741126009716</v>
      </c>
      <c r="T27" s="88">
        <v>55.294701493215513</v>
      </c>
      <c r="U27" s="87">
        <f t="shared" si="6"/>
        <v>5.5294701493215512E-2</v>
      </c>
      <c r="AO27" s="91">
        <v>500.69355968612803</v>
      </c>
      <c r="AP27" s="89">
        <v>12914.058616063496</v>
      </c>
      <c r="AQ27" s="5">
        <f t="shared" si="7"/>
        <v>0.50069355968612805</v>
      </c>
      <c r="AR27" s="41">
        <f t="shared" si="8"/>
        <v>12.914058616063496</v>
      </c>
      <c r="AT27" s="54">
        <v>0</v>
      </c>
      <c r="AU27" s="54">
        <v>0</v>
      </c>
      <c r="AW27" s="54">
        <v>300</v>
      </c>
      <c r="AX27" s="54">
        <v>226.76379689731181</v>
      </c>
      <c r="AY27" s="54">
        <v>95.206302530663351</v>
      </c>
      <c r="AZ27" s="54">
        <v>80.140839483466777</v>
      </c>
      <c r="BA27" s="54">
        <v>0</v>
      </c>
      <c r="BB27" s="54">
        <v>0</v>
      </c>
      <c r="BD27" s="54">
        <f t="shared" si="10"/>
        <v>-935.09959561655569</v>
      </c>
      <c r="BE27" s="54">
        <f t="shared" si="11"/>
        <v>-935.09959561655569</v>
      </c>
      <c r="BF27" s="54">
        <f t="shared" si="12"/>
        <v>-6.6038107035067499</v>
      </c>
      <c r="BG27" s="54">
        <f t="shared" si="13"/>
        <v>-6.6038107035067499</v>
      </c>
    </row>
    <row r="28" spans="2:59" x14ac:dyDescent="0.25">
      <c r="B28" s="93">
        <v>4043.9560439560432</v>
      </c>
      <c r="C28" s="95">
        <v>2569.588820772557</v>
      </c>
      <c r="D28" s="95">
        <v>107.15929057590276</v>
      </c>
      <c r="E28" s="95">
        <v>7031.5451468366573</v>
      </c>
      <c r="F28" s="94">
        <v>544.87860201102637</v>
      </c>
      <c r="H28" s="92">
        <f t="shared" si="0"/>
        <v>4043.9560439560432</v>
      </c>
      <c r="I28" s="54">
        <f t="shared" si="9"/>
        <v>18.146813706020883</v>
      </c>
      <c r="J28" s="64">
        <f t="shared" si="1"/>
        <v>49.657804709298432</v>
      </c>
      <c r="K28" s="2">
        <f t="shared" si="2"/>
        <v>107.15929057590276</v>
      </c>
      <c r="L28" s="64">
        <f t="shared" si="3"/>
        <v>544.87860201102637</v>
      </c>
      <c r="M28" s="56"/>
      <c r="N28" s="91">
        <v>7684.8505340521533</v>
      </c>
      <c r="O28" s="90">
        <v>21029.190756143336</v>
      </c>
      <c r="P28" s="54">
        <f t="shared" si="4"/>
        <v>7.6848505340521536</v>
      </c>
      <c r="Q28" s="54">
        <f t="shared" si="5"/>
        <v>21.029190756143336</v>
      </c>
      <c r="R28" s="90">
        <v>0.93219851436184109</v>
      </c>
      <c r="S28" s="89">
        <v>0.61847185737407473</v>
      </c>
      <c r="T28" s="88">
        <v>59.498302442742407</v>
      </c>
      <c r="U28" s="87">
        <f t="shared" si="6"/>
        <v>5.9498302442742408E-2</v>
      </c>
      <c r="AO28" s="91">
        <v>499.43692105806559</v>
      </c>
      <c r="AP28" s="89">
        <v>12912.801977435434</v>
      </c>
      <c r="AQ28" s="5">
        <f t="shared" si="7"/>
        <v>0.49943692105806559</v>
      </c>
      <c r="AR28" s="41">
        <f t="shared" si="8"/>
        <v>12.912801977435434</v>
      </c>
      <c r="AT28" s="54">
        <v>0</v>
      </c>
      <c r="AU28" s="54">
        <v>0</v>
      </c>
      <c r="AW28" s="54">
        <v>300</v>
      </c>
      <c r="AX28" s="54">
        <v>236.67859919576136</v>
      </c>
      <c r="AY28" s="54">
        <v>99.286238656784832</v>
      </c>
      <c r="AZ28" s="54">
        <v>83.783604914533441</v>
      </c>
      <c r="BA28" s="54">
        <v>0</v>
      </c>
      <c r="BB28" s="54">
        <v>0</v>
      </c>
      <c r="BD28" s="54">
        <f t="shared" si="10"/>
        <v>-898.26823888748129</v>
      </c>
      <c r="BE28" s="54">
        <f t="shared" si="11"/>
        <v>-898.26823888748129</v>
      </c>
      <c r="BF28" s="54">
        <f t="shared" si="12"/>
        <v>-6.3437022520302353</v>
      </c>
      <c r="BG28" s="54">
        <f t="shared" si="13"/>
        <v>-6.3437022520302353</v>
      </c>
    </row>
    <row r="29" spans="2:59" x14ac:dyDescent="0.25">
      <c r="B29" s="93">
        <v>4219.7802197802193</v>
      </c>
      <c r="C29" s="95">
        <v>2565.7403734148688</v>
      </c>
      <c r="D29" s="95">
        <v>107.0196737314305</v>
      </c>
      <c r="E29" s="95">
        <v>7030.8341190564597</v>
      </c>
      <c r="F29" s="94">
        <v>544.85116127098559</v>
      </c>
      <c r="H29" s="92">
        <f t="shared" si="0"/>
        <v>4219.7802197802193</v>
      </c>
      <c r="I29" s="54">
        <f t="shared" si="9"/>
        <v>18.119635405472238</v>
      </c>
      <c r="J29" s="64">
        <f t="shared" si="1"/>
        <v>49.652783326669912</v>
      </c>
      <c r="K29" s="2">
        <f t="shared" si="2"/>
        <v>107.0196737314305</v>
      </c>
      <c r="L29" s="64">
        <f t="shared" si="3"/>
        <v>544.85116127098559</v>
      </c>
      <c r="M29" s="56"/>
      <c r="N29" s="91">
        <v>8006.9645328256129</v>
      </c>
      <c r="O29" s="90">
        <v>21941.284477095658</v>
      </c>
      <c r="P29" s="54">
        <f t="shared" si="4"/>
        <v>8.0069645328256129</v>
      </c>
      <c r="Q29" s="54">
        <f t="shared" si="5"/>
        <v>21.941284477095657</v>
      </c>
      <c r="R29" s="90">
        <v>0.93441539922702865</v>
      </c>
      <c r="S29" s="89">
        <v>0.62838373790837854</v>
      </c>
      <c r="T29" s="88">
        <v>63.848877777235238</v>
      </c>
      <c r="U29" s="87">
        <f t="shared" si="6"/>
        <v>6.3848877777235233E-2</v>
      </c>
      <c r="AO29" s="91">
        <v>498.13634541226503</v>
      </c>
      <c r="AP29" s="89">
        <v>12911.501401789634</v>
      </c>
      <c r="AQ29" s="5">
        <f t="shared" si="7"/>
        <v>0.49813634541226504</v>
      </c>
      <c r="AR29" s="41">
        <f t="shared" si="8"/>
        <v>12.911501401789634</v>
      </c>
      <c r="AT29" s="54">
        <v>0</v>
      </c>
      <c r="AU29" s="54">
        <v>0</v>
      </c>
      <c r="AW29" s="54">
        <v>300</v>
      </c>
      <c r="AX29" s="54">
        <v>246.59754814994889</v>
      </c>
      <c r="AY29" s="54">
        <v>103.36318309767644</v>
      </c>
      <c r="AZ29" s="54">
        <v>87.42637034560012</v>
      </c>
      <c r="BA29" s="54">
        <v>0</v>
      </c>
      <c r="BB29" s="54">
        <v>0</v>
      </c>
      <c r="BD29" s="54">
        <f t="shared" si="10"/>
        <v>-864.2147010175604</v>
      </c>
      <c r="BE29" s="54">
        <f t="shared" si="11"/>
        <v>-864.2147010175604</v>
      </c>
      <c r="BF29" s="54">
        <f t="shared" si="12"/>
        <v>-6.1032111653782515</v>
      </c>
      <c r="BG29" s="54">
        <f t="shared" si="13"/>
        <v>-6.1032111653782515</v>
      </c>
    </row>
    <row r="30" spans="2:59" x14ac:dyDescent="0.25">
      <c r="B30" s="93">
        <v>4395.604395604395</v>
      </c>
      <c r="C30" s="95">
        <v>2561.7759457773905</v>
      </c>
      <c r="D30" s="95">
        <v>106.87514851102813</v>
      </c>
      <c r="E30" s="95">
        <v>7030.1181555750618</v>
      </c>
      <c r="F30" s="94">
        <v>544.82279205445707</v>
      </c>
      <c r="H30" s="92">
        <f t="shared" si="0"/>
        <v>4395.604395604395</v>
      </c>
      <c r="I30" s="54">
        <f t="shared" si="9"/>
        <v>18.091638035151064</v>
      </c>
      <c r="J30" s="64">
        <f t="shared" si="1"/>
        <v>49.647727087394507</v>
      </c>
      <c r="K30" s="2">
        <f t="shared" si="2"/>
        <v>106.87514851102813</v>
      </c>
      <c r="L30" s="64">
        <f t="shared" si="3"/>
        <v>544.82279205445707</v>
      </c>
      <c r="M30" s="56"/>
      <c r="N30" s="91">
        <v>8327.7006802397445</v>
      </c>
      <c r="O30" s="90">
        <v>22853.177243251215</v>
      </c>
      <c r="P30" s="54">
        <f t="shared" si="4"/>
        <v>8.3277006802397455</v>
      </c>
      <c r="Q30" s="54">
        <f t="shared" si="5"/>
        <v>22.853177243251217</v>
      </c>
      <c r="R30" s="90">
        <v>0.93644949460873872</v>
      </c>
      <c r="S30" s="89">
        <v>0.63778545099454731</v>
      </c>
      <c r="T30" s="88">
        <v>68.346427496693948</v>
      </c>
      <c r="U30" s="87">
        <f t="shared" si="6"/>
        <v>6.8346427496693951E-2</v>
      </c>
      <c r="AO30" s="91">
        <v>496.79183274872634</v>
      </c>
      <c r="AP30" s="89">
        <v>12910.156889126101</v>
      </c>
      <c r="AQ30" s="5">
        <f t="shared" si="7"/>
        <v>0.49679183274872635</v>
      </c>
      <c r="AR30" s="41">
        <f t="shared" si="8"/>
        <v>12.910156889126101</v>
      </c>
      <c r="AT30" s="54">
        <v>0</v>
      </c>
      <c r="AU30" s="54">
        <v>0</v>
      </c>
      <c r="AW30" s="54">
        <v>300</v>
      </c>
      <c r="AX30" s="54">
        <v>256.51996409278252</v>
      </c>
      <c r="AY30" s="54">
        <v>107.43701054623624</v>
      </c>
      <c r="AZ30" s="54">
        <v>91.069135776666783</v>
      </c>
      <c r="BA30" s="54">
        <v>0</v>
      </c>
      <c r="BB30" s="54">
        <v>0</v>
      </c>
      <c r="BD30" s="54">
        <f t="shared" si="10"/>
        <v>-832.63603662852734</v>
      </c>
      <c r="BE30" s="54">
        <f t="shared" si="11"/>
        <v>-832.63603662852734</v>
      </c>
      <c r="BF30" s="54">
        <f t="shared" si="12"/>
        <v>-5.8801979987890354</v>
      </c>
      <c r="BG30" s="54">
        <f t="shared" si="13"/>
        <v>-5.8801979987890354</v>
      </c>
    </row>
    <row r="31" spans="2:59" x14ac:dyDescent="0.25">
      <c r="B31" s="93">
        <v>4571.4285714285706</v>
      </c>
      <c r="C31" s="95">
        <v>2557.6950114508677</v>
      </c>
      <c r="D31" s="95">
        <v>106.72569497430413</v>
      </c>
      <c r="E31" s="95">
        <v>7029.3972556214039</v>
      </c>
      <c r="F31" s="94">
        <v>544.79349421639381</v>
      </c>
      <c r="H31" s="92">
        <f t="shared" si="0"/>
        <v>4571.4285714285706</v>
      </c>
      <c r="I31" s="54">
        <f t="shared" si="9"/>
        <v>18.06281787747788</v>
      </c>
      <c r="J31" s="64">
        <f t="shared" si="1"/>
        <v>49.642635986026868</v>
      </c>
      <c r="K31" s="2">
        <f t="shared" si="2"/>
        <v>106.72569497430413</v>
      </c>
      <c r="L31" s="64">
        <f t="shared" si="3"/>
        <v>544.79349421639381</v>
      </c>
      <c r="M31" s="56"/>
      <c r="N31" s="91">
        <v>8647.011953830839</v>
      </c>
      <c r="O31" s="90">
        <v>23764.867126633791</v>
      </c>
      <c r="P31" s="54">
        <f t="shared" si="4"/>
        <v>8.6470119538308392</v>
      </c>
      <c r="Q31" s="54">
        <f t="shared" si="5"/>
        <v>23.764867126633792</v>
      </c>
      <c r="R31" s="90">
        <v>0.93832060308509613</v>
      </c>
      <c r="S31" s="89">
        <v>0.64671516527511175</v>
      </c>
      <c r="T31" s="88">
        <v>72.990951601118581</v>
      </c>
      <c r="U31" s="87">
        <f t="shared" si="6"/>
        <v>7.2990951601118584E-2</v>
      </c>
      <c r="AO31" s="91">
        <v>495.40338306744906</v>
      </c>
      <c r="AP31" s="89">
        <v>12908.768439444819</v>
      </c>
      <c r="AQ31" s="5">
        <f t="shared" si="7"/>
        <v>0.49540338306744908</v>
      </c>
      <c r="AR31" s="41">
        <f t="shared" si="8"/>
        <v>12.908768439444819</v>
      </c>
      <c r="AT31" s="54">
        <v>0</v>
      </c>
      <c r="AU31" s="54">
        <v>0</v>
      </c>
      <c r="AW31" s="54">
        <v>300</v>
      </c>
      <c r="AX31" s="54">
        <v>266.44526126017263</v>
      </c>
      <c r="AY31" s="54">
        <v>111.50759735144345</v>
      </c>
      <c r="AZ31" s="54">
        <v>94.711901207733462</v>
      </c>
      <c r="BA31" s="54">
        <v>0</v>
      </c>
      <c r="BB31" s="54">
        <v>0</v>
      </c>
      <c r="BD31" s="54">
        <f t="shared" si="10"/>
        <v>-803.27180243065698</v>
      </c>
      <c r="BE31" s="54">
        <f t="shared" si="11"/>
        <v>-803.27180243065698</v>
      </c>
      <c r="BF31" s="54">
        <f t="shared" si="12"/>
        <v>-5.6728234634933408</v>
      </c>
      <c r="BG31" s="54">
        <f t="shared" si="13"/>
        <v>-5.6728234634933408</v>
      </c>
    </row>
    <row r="32" spans="2:59" x14ac:dyDescent="0.25">
      <c r="B32" s="93">
        <v>4747.2527472527463</v>
      </c>
      <c r="C32" s="95">
        <v>2553.4970230721096</v>
      </c>
      <c r="D32" s="95">
        <v>106.57129238713166</v>
      </c>
      <c r="E32" s="95">
        <v>6956.5853960690556</v>
      </c>
      <c r="F32" s="94">
        <v>544.76326760696998</v>
      </c>
      <c r="H32" s="92">
        <f t="shared" si="0"/>
        <v>4747.2527472527463</v>
      </c>
      <c r="I32" s="54">
        <f t="shared" si="9"/>
        <v>18.033171066893431</v>
      </c>
      <c r="J32" s="64">
        <f t="shared" si="1"/>
        <v>49.128427938340792</v>
      </c>
      <c r="K32" s="2">
        <f t="shared" si="2"/>
        <v>106.57129238713166</v>
      </c>
      <c r="L32" s="64">
        <f t="shared" si="3"/>
        <v>544.76326760696998</v>
      </c>
      <c r="M32" s="56"/>
      <c r="N32" s="91">
        <v>8964.8509837736019</v>
      </c>
      <c r="O32" s="90">
        <v>24423.271642049447</v>
      </c>
      <c r="P32" s="54">
        <f t="shared" si="4"/>
        <v>8.9648509837736015</v>
      </c>
      <c r="Q32" s="54">
        <f t="shared" si="5"/>
        <v>24.423271642049446</v>
      </c>
      <c r="R32" s="90">
        <v>0.94004574350091807</v>
      </c>
      <c r="S32" s="89">
        <v>0.65287479716577723</v>
      </c>
      <c r="T32" s="88">
        <v>77.78245009050913</v>
      </c>
      <c r="U32" s="87">
        <f t="shared" si="6"/>
        <v>7.7782450090509131E-2</v>
      </c>
      <c r="AO32" s="91">
        <v>493.97099636843382</v>
      </c>
      <c r="AP32" s="89">
        <v>12907.336052745803</v>
      </c>
      <c r="AQ32" s="5">
        <f t="shared" si="7"/>
        <v>0.49397099636843383</v>
      </c>
      <c r="AR32" s="41">
        <f t="shared" si="8"/>
        <v>12.907336052745803</v>
      </c>
      <c r="AT32" s="54">
        <v>8.2000000000000028</v>
      </c>
      <c r="AU32" s="54">
        <v>0</v>
      </c>
      <c r="AW32" s="54">
        <v>300</v>
      </c>
      <c r="AX32" s="54">
        <v>269.85591617292783</v>
      </c>
      <c r="AY32" s="54">
        <v>115.57482115545129</v>
      </c>
      <c r="AZ32" s="54">
        <v>98.354666638800126</v>
      </c>
      <c r="BA32" s="54">
        <v>0</v>
      </c>
      <c r="BB32" s="54">
        <v>0</v>
      </c>
      <c r="BD32" s="54">
        <f t="shared" si="10"/>
        <v>-775.89685607115712</v>
      </c>
      <c r="BE32" s="54">
        <f t="shared" si="11"/>
        <v>-775.89685607115712</v>
      </c>
      <c r="BF32" s="54">
        <f t="shared" si="12"/>
        <v>-5.4794975711239911</v>
      </c>
      <c r="BG32" s="54">
        <f t="shared" si="13"/>
        <v>-5.4794975711239911</v>
      </c>
    </row>
    <row r="33" spans="2:59" x14ac:dyDescent="0.25">
      <c r="B33" s="93">
        <v>4923.076923076922</v>
      </c>
      <c r="C33" s="95">
        <v>2549.1814119227897</v>
      </c>
      <c r="D33" s="95">
        <v>106.4119192064508</v>
      </c>
      <c r="E33" s="95">
        <v>6768.6915639194713</v>
      </c>
      <c r="F33" s="94">
        <v>524.50512983448414</v>
      </c>
      <c r="H33" s="92">
        <f t="shared" si="0"/>
        <v>4923.076923076922</v>
      </c>
      <c r="I33" s="54">
        <f t="shared" si="9"/>
        <v>18.002693587025352</v>
      </c>
      <c r="J33" s="64">
        <f t="shared" si="1"/>
        <v>47.801494095476492</v>
      </c>
      <c r="K33" s="2">
        <f t="shared" si="2"/>
        <v>106.4119192064508</v>
      </c>
      <c r="L33" s="64">
        <f t="shared" si="3"/>
        <v>524.50512983448414</v>
      </c>
      <c r="M33" s="56"/>
      <c r="N33" s="91">
        <v>9281.1700377972393</v>
      </c>
      <c r="O33" s="90">
        <v>24643.745260466021</v>
      </c>
      <c r="P33" s="54">
        <f t="shared" si="4"/>
        <v>9.2811700377972386</v>
      </c>
      <c r="Q33" s="54">
        <f t="shared" si="5"/>
        <v>24.643745260466023</v>
      </c>
      <c r="R33" s="90">
        <v>0.94163962246547306</v>
      </c>
      <c r="S33" s="89">
        <v>0.67163601408438089</v>
      </c>
      <c r="T33" s="88">
        <v>82.720922964865608</v>
      </c>
      <c r="U33" s="87">
        <f t="shared" si="6"/>
        <v>8.2720922964865606E-2</v>
      </c>
      <c r="AO33" s="91">
        <v>492.49467265168005</v>
      </c>
      <c r="AP33" s="89">
        <v>11965.213854657084</v>
      </c>
      <c r="AQ33" s="5">
        <f t="shared" si="7"/>
        <v>0.49249467265168007</v>
      </c>
      <c r="AR33" s="41">
        <f t="shared" si="8"/>
        <v>11.965213854657085</v>
      </c>
      <c r="AT33" s="54">
        <v>11.999999999999989</v>
      </c>
      <c r="AU33" s="54">
        <v>0</v>
      </c>
      <c r="AW33" s="54">
        <v>300</v>
      </c>
      <c r="AX33" s="54">
        <v>266.05021716702407</v>
      </c>
      <c r="AY33" s="54">
        <v>119.63856060196447</v>
      </c>
      <c r="AZ33" s="54">
        <v>101.9974320698668</v>
      </c>
      <c r="BA33" s="54">
        <v>0</v>
      </c>
      <c r="BB33" s="54">
        <v>0</v>
      </c>
      <c r="BD33" s="54">
        <f t="shared" si="10"/>
        <v>-750.31557110348012</v>
      </c>
      <c r="BE33" s="54">
        <f t="shared" si="11"/>
        <v>-750.31557110348012</v>
      </c>
      <c r="BF33" s="54">
        <f t="shared" si="12"/>
        <v>-5.2988387789793796</v>
      </c>
      <c r="BG33" s="54">
        <f t="shared" si="13"/>
        <v>-5.2988387789793796</v>
      </c>
    </row>
    <row r="34" spans="2:59" x14ac:dyDescent="0.25">
      <c r="B34" s="93">
        <v>5098.9010989010976</v>
      </c>
      <c r="C34" s="95">
        <v>2544.7475875087612</v>
      </c>
      <c r="D34" s="95">
        <v>106.24755306433337</v>
      </c>
      <c r="E34" s="95">
        <v>6671.3486167740975</v>
      </c>
      <c r="F34" s="94">
        <v>507.8379502113055</v>
      </c>
      <c r="H34" s="92">
        <f t="shared" si="0"/>
        <v>5098.9010989010976</v>
      </c>
      <c r="I34" s="54">
        <f t="shared" si="9"/>
        <v>17.971381267717241</v>
      </c>
      <c r="J34" s="64">
        <f t="shared" si="1"/>
        <v>47.114043903771879</v>
      </c>
      <c r="K34" s="2">
        <f t="shared" si="2"/>
        <v>106.24755306433337</v>
      </c>
      <c r="L34" s="64">
        <f t="shared" si="3"/>
        <v>507.8379502113055</v>
      </c>
      <c r="M34" s="56"/>
      <c r="N34" s="91">
        <v>9595.9210057150431</v>
      </c>
      <c r="O34" s="90">
        <v>25156.811089001632</v>
      </c>
      <c r="P34" s="54">
        <f t="shared" si="4"/>
        <v>9.5959210057150433</v>
      </c>
      <c r="Q34" s="54">
        <f t="shared" si="5"/>
        <v>25.156811089001632</v>
      </c>
      <c r="R34" s="90">
        <v>0.94311501312130064</v>
      </c>
      <c r="S34" s="89">
        <v>0.68994739974561448</v>
      </c>
      <c r="T34" s="88">
        <v>87.806370224187972</v>
      </c>
      <c r="U34" s="87">
        <f t="shared" si="6"/>
        <v>8.7806370224187968E-2</v>
      </c>
      <c r="AO34" s="91">
        <v>490.97441191718843</v>
      </c>
      <c r="AP34" s="89">
        <v>11216.859738343968</v>
      </c>
      <c r="AQ34" s="5">
        <f t="shared" si="7"/>
        <v>0.49097441191718844</v>
      </c>
      <c r="AR34" s="41">
        <f t="shared" si="8"/>
        <v>11.216859738343969</v>
      </c>
      <c r="AT34" s="54">
        <v>12.399999999999988</v>
      </c>
      <c r="AU34" s="54">
        <v>0</v>
      </c>
      <c r="AW34" s="54">
        <v>300</v>
      </c>
      <c r="AX34" s="54">
        <v>266.46578193579546</v>
      </c>
      <c r="AY34" s="54">
        <v>123.69869509923591</v>
      </c>
      <c r="AZ34" s="54">
        <v>105.64019750093347</v>
      </c>
      <c r="BA34" s="54">
        <v>0</v>
      </c>
      <c r="BB34" s="54">
        <v>0</v>
      </c>
      <c r="BD34" s="54">
        <f t="shared" si="10"/>
        <v>-726.35715349109353</v>
      </c>
      <c r="BE34" s="54">
        <f t="shared" si="11"/>
        <v>-726.35715349109353</v>
      </c>
      <c r="BF34" s="54">
        <f t="shared" si="12"/>
        <v>-5.1296409144851243</v>
      </c>
      <c r="BG34" s="54">
        <f t="shared" si="13"/>
        <v>-5.1296409144851243</v>
      </c>
    </row>
    <row r="35" spans="2:59" x14ac:dyDescent="0.25">
      <c r="B35" s="93">
        <v>5274.7252747252742</v>
      </c>
      <c r="C35" s="95">
        <v>2540.1949371191413</v>
      </c>
      <c r="D35" s="95">
        <v>106.07817075128068</v>
      </c>
      <c r="E35" s="95">
        <v>6579.3874740997317</v>
      </c>
      <c r="F35" s="94">
        <v>492.22066300707218</v>
      </c>
      <c r="H35" s="92">
        <f t="shared" si="0"/>
        <v>5274.7252747252742</v>
      </c>
      <c r="I35" s="54">
        <f t="shared" si="9"/>
        <v>17.93922978191484</v>
      </c>
      <c r="J35" s="64">
        <f t="shared" si="1"/>
        <v>46.464600805789068</v>
      </c>
      <c r="K35" s="2">
        <f t="shared" si="2"/>
        <v>106.07817075128068</v>
      </c>
      <c r="L35" s="64">
        <f t="shared" si="3"/>
        <v>492.22066300707218</v>
      </c>
      <c r="M35" s="56"/>
      <c r="N35" s="91">
        <v>9909.05538354688</v>
      </c>
      <c r="O35" s="90">
        <v>25665.555787859215</v>
      </c>
      <c r="P35" s="54">
        <f t="shared" si="4"/>
        <v>9.90905538354688</v>
      </c>
      <c r="Q35" s="54">
        <f t="shared" si="5"/>
        <v>25.665555787859216</v>
      </c>
      <c r="R35" s="90">
        <v>0.94448306178314567</v>
      </c>
      <c r="S35" s="89">
        <v>0.70710569304403514</v>
      </c>
      <c r="T35" s="88">
        <v>93.038791868476295</v>
      </c>
      <c r="U35" s="87">
        <f t="shared" si="6"/>
        <v>9.30387918684763E-2</v>
      </c>
      <c r="AO35" s="91">
        <v>489.41021416495812</v>
      </c>
      <c r="AP35" s="89">
        <v>10537.57471931779</v>
      </c>
      <c r="AQ35" s="5">
        <f t="shared" si="7"/>
        <v>0.48941021416495811</v>
      </c>
      <c r="AR35" s="41">
        <f t="shared" si="8"/>
        <v>10.53757471931779</v>
      </c>
      <c r="AT35" s="54">
        <v>12.799999999999986</v>
      </c>
      <c r="AU35" s="54">
        <v>0</v>
      </c>
      <c r="AW35" s="54">
        <v>300</v>
      </c>
      <c r="AX35" s="54">
        <v>266.85477805175742</v>
      </c>
      <c r="AY35" s="54">
        <v>127.75510462528133</v>
      </c>
      <c r="AZ35" s="54">
        <v>109.28296293200015</v>
      </c>
      <c r="BA35" s="54">
        <v>0</v>
      </c>
      <c r="BB35" s="54">
        <v>0</v>
      </c>
      <c r="BD35" s="54">
        <f t="shared" si="10"/>
        <v>-703.87182247033923</v>
      </c>
      <c r="BE35" s="54">
        <f t="shared" si="11"/>
        <v>-703.87182247033923</v>
      </c>
      <c r="BF35" s="54">
        <f t="shared" si="12"/>
        <v>-4.9708462038865768</v>
      </c>
      <c r="BG35" s="54">
        <f t="shared" si="13"/>
        <v>-4.9708462038865768</v>
      </c>
    </row>
    <row r="36" spans="2:59" x14ac:dyDescent="0.25">
      <c r="B36" s="93">
        <v>5450.5494505494489</v>
      </c>
      <c r="C36" s="95">
        <v>2535.5228253643377</v>
      </c>
      <c r="D36" s="95">
        <v>105.90374819872429</v>
      </c>
      <c r="E36" s="95">
        <v>6492.3011065270002</v>
      </c>
      <c r="F36" s="94">
        <v>477.55784041300103</v>
      </c>
      <c r="H36" s="92">
        <f t="shared" si="0"/>
        <v>5450.5494505494489</v>
      </c>
      <c r="I36" s="54">
        <f t="shared" si="9"/>
        <v>17.906234642403515</v>
      </c>
      <c r="J36" s="64">
        <f t="shared" si="1"/>
        <v>45.849584085642661</v>
      </c>
      <c r="K36" s="2">
        <f t="shared" si="2"/>
        <v>105.90374819872429</v>
      </c>
      <c r="L36" s="64">
        <f t="shared" si="3"/>
        <v>477.55784041300103</v>
      </c>
      <c r="M36" s="56"/>
      <c r="N36" s="91">
        <v>10220.524257212763</v>
      </c>
      <c r="O36" s="90">
        <v>26170.034945299194</v>
      </c>
      <c r="P36" s="54">
        <f t="shared" si="4"/>
        <v>10.220524257212762</v>
      </c>
      <c r="Q36" s="54">
        <f t="shared" si="5"/>
        <v>26.170034945299193</v>
      </c>
      <c r="R36" s="90">
        <v>0.94575353797714024</v>
      </c>
      <c r="S36" s="89">
        <v>0.72316792974282551</v>
      </c>
      <c r="T36" s="88">
        <v>98.418187897730476</v>
      </c>
      <c r="U36" s="87">
        <f t="shared" si="6"/>
        <v>9.8418187897730477E-2</v>
      </c>
      <c r="AO36" s="91">
        <v>487.8020793949899</v>
      </c>
      <c r="AP36" s="89">
        <v>9919.1154284272525</v>
      </c>
      <c r="AQ36" s="5">
        <f t="shared" si="7"/>
        <v>0.48780207939498993</v>
      </c>
      <c r="AR36" s="41">
        <f t="shared" si="8"/>
        <v>9.9191154284272525</v>
      </c>
      <c r="AT36" s="54">
        <v>13.199999999999985</v>
      </c>
      <c r="AU36" s="54">
        <v>0</v>
      </c>
      <c r="AW36" s="54">
        <v>300</v>
      </c>
      <c r="AX36" s="54">
        <v>267.22123816751326</v>
      </c>
      <c r="AY36" s="54">
        <v>131.8076695659804</v>
      </c>
      <c r="AZ36" s="54">
        <v>112.92572836306681</v>
      </c>
      <c r="BA36" s="54">
        <v>0</v>
      </c>
      <c r="BB36" s="54">
        <v>0</v>
      </c>
      <c r="BD36" s="54">
        <f t="shared" si="10"/>
        <v>-682.72767521778837</v>
      </c>
      <c r="BE36" s="54">
        <f t="shared" si="11"/>
        <v>-682.72767521778837</v>
      </c>
      <c r="BF36" s="54">
        <f t="shared" si="12"/>
        <v>-4.821523130069127</v>
      </c>
      <c r="BG36" s="54">
        <f t="shared" si="13"/>
        <v>-4.821523130069127</v>
      </c>
    </row>
    <row r="37" spans="2:59" x14ac:dyDescent="0.25">
      <c r="B37" s="93">
        <v>5626.3736263736255</v>
      </c>
      <c r="C37" s="95">
        <v>2530.7305936921653</v>
      </c>
      <c r="D37" s="95">
        <v>105.72426046069626</v>
      </c>
      <c r="E37" s="95">
        <v>6409.6421777872956</v>
      </c>
      <c r="F37" s="94">
        <v>463.76528197182745</v>
      </c>
      <c r="H37" s="92">
        <f t="shared" ref="H37:H68" si="14">B37*$X$1</f>
        <v>5626.3736263736255</v>
      </c>
      <c r="I37" s="54">
        <f t="shared" ref="I37:I68" si="15">C37/$X$2</f>
        <v>17.872391198391</v>
      </c>
      <c r="J37" s="64">
        <f t="shared" ref="J37:J68" si="16">E37/$X$2</f>
        <v>45.265834588893334</v>
      </c>
      <c r="K37" s="2">
        <f t="shared" ref="K37:K68" si="17">D37*$AD$1</f>
        <v>105.72426046069626</v>
      </c>
      <c r="L37" s="64">
        <f t="shared" ref="L37:L68" si="18">$AD$1*F37</f>
        <v>463.76528197182745</v>
      </c>
      <c r="M37" s="56"/>
      <c r="N37" s="91">
        <v>10530.278285774868</v>
      </c>
      <c r="O37" s="90">
        <v>26670.288814057123</v>
      </c>
      <c r="P37" s="54">
        <f t="shared" ref="P37:P68" si="19">N37*$AJ$1</f>
        <v>10.530278285774868</v>
      </c>
      <c r="Q37" s="54">
        <f t="shared" ref="Q37:Q68" si="20">O37*$AJ$1</f>
        <v>26.670288814057123</v>
      </c>
      <c r="R37" s="90">
        <v>0.94693503970286141</v>
      </c>
      <c r="S37" s="89">
        <v>0.73819290537172289</v>
      </c>
      <c r="T37" s="88">
        <v>103.9445583119506</v>
      </c>
      <c r="U37" s="87">
        <f t="shared" ref="U37:U68" si="21">T37*$AJ$1</f>
        <v>0.1039445583119506</v>
      </c>
      <c r="AO37" s="91">
        <v>486.15000760728338</v>
      </c>
      <c r="AP37" s="89">
        <v>9354.4326479513547</v>
      </c>
      <c r="AQ37" s="5">
        <f t="shared" ref="AQ37:AQ68" si="22">AO37*$AJ$1</f>
        <v>0.48615000760728339</v>
      </c>
      <c r="AR37" s="41">
        <f t="shared" ref="AR37:AR68" si="23">AP37*$AJ$1</f>
        <v>9.3544326479513558</v>
      </c>
      <c r="AT37" s="54">
        <v>13.599999999999984</v>
      </c>
      <c r="AU37" s="54">
        <v>0</v>
      </c>
      <c r="AW37" s="54">
        <v>300</v>
      </c>
      <c r="AX37" s="54">
        <v>267.5690361461489</v>
      </c>
      <c r="AY37" s="54">
        <v>135.85627057897244</v>
      </c>
      <c r="AZ37" s="54">
        <v>116.56849379413349</v>
      </c>
      <c r="BA37" s="54">
        <v>0</v>
      </c>
      <c r="BB37" s="54">
        <v>0</v>
      </c>
      <c r="BD37" s="54">
        <f t="shared" si="10"/>
        <v>-662.80809662221679</v>
      </c>
      <c r="BE37" s="54">
        <f t="shared" si="11"/>
        <v>-662.80809662221679</v>
      </c>
      <c r="BF37" s="54">
        <f t="shared" si="12"/>
        <v>-4.6808481399874067</v>
      </c>
      <c r="BG37" s="54">
        <f t="shared" si="13"/>
        <v>-4.6808481399874067</v>
      </c>
    </row>
    <row r="38" spans="2:59" x14ac:dyDescent="0.25">
      <c r="B38" s="93">
        <v>5802.1978021978011</v>
      </c>
      <c r="C38" s="95">
        <v>2525.8175598811363</v>
      </c>
      <c r="D38" s="95">
        <v>105.53968169463511</v>
      </c>
      <c r="E38" s="95">
        <v>6331.0145184721077</v>
      </c>
      <c r="F38" s="94">
        <v>450.7684106730494</v>
      </c>
      <c r="H38" s="92">
        <f t="shared" si="14"/>
        <v>5802.1978021978011</v>
      </c>
      <c r="I38" s="54">
        <f t="shared" si="15"/>
        <v>17.83769463192893</v>
      </c>
      <c r="J38" s="64">
        <f t="shared" si="16"/>
        <v>44.710554508983812</v>
      </c>
      <c r="K38" s="2">
        <f t="shared" si="17"/>
        <v>105.53968169463511</v>
      </c>
      <c r="L38" s="64">
        <f t="shared" si="18"/>
        <v>450.7684106730494</v>
      </c>
      <c r="M38" s="56"/>
      <c r="N38" s="91">
        <v>10838.267684204064</v>
      </c>
      <c r="O38" s="90">
        <v>27166.344534801668</v>
      </c>
      <c r="P38" s="54">
        <f t="shared" si="19"/>
        <v>10.838267684204064</v>
      </c>
      <c r="Q38" s="54">
        <f t="shared" si="20"/>
        <v>27.16634453480167</v>
      </c>
      <c r="R38" s="90">
        <v>0.94803516300023993</v>
      </c>
      <c r="S38" s="89">
        <v>0.75223985312066355</v>
      </c>
      <c r="T38" s="88">
        <v>109.61790311113667</v>
      </c>
      <c r="U38" s="87">
        <f t="shared" si="21"/>
        <v>0.10961790311113667</v>
      </c>
      <c r="AO38" s="91">
        <v>484.45399880183862</v>
      </c>
      <c r="AP38" s="89">
        <v>8837.4695854482979</v>
      </c>
      <c r="AQ38" s="5">
        <f t="shared" si="22"/>
        <v>0.48445399880183865</v>
      </c>
      <c r="AR38" s="41">
        <f t="shared" si="23"/>
        <v>8.8374695854482983</v>
      </c>
      <c r="AT38" s="54">
        <v>13.999999999999982</v>
      </c>
      <c r="AU38" s="54">
        <v>0</v>
      </c>
      <c r="AW38" s="54">
        <v>300</v>
      </c>
      <c r="AX38" s="54">
        <v>267.90192174735353</v>
      </c>
      <c r="AY38" s="54">
        <v>139.90078847790159</v>
      </c>
      <c r="AZ38" s="54">
        <v>120.21125922520017</v>
      </c>
      <c r="BA38" s="54">
        <v>0</v>
      </c>
      <c r="BB38" s="54">
        <v>0</v>
      </c>
      <c r="BD38" s="54">
        <f t="shared" si="10"/>
        <v>-644.00960670816607</v>
      </c>
      <c r="BE38" s="54">
        <f t="shared" si="11"/>
        <v>-644.00960670816607</v>
      </c>
      <c r="BF38" s="54">
        <f t="shared" si="12"/>
        <v>-4.5480904428542805</v>
      </c>
      <c r="BG38" s="54">
        <f t="shared" si="13"/>
        <v>-4.5480904428542805</v>
      </c>
    </row>
    <row r="39" spans="2:59" x14ac:dyDescent="0.25">
      <c r="B39" s="93">
        <v>5978.0219780219768</v>
      </c>
      <c r="C39" s="95">
        <v>2520.783017509953</v>
      </c>
      <c r="D39" s="95">
        <v>105.34998514129015</v>
      </c>
      <c r="E39" s="95">
        <v>6256.0660208289446</v>
      </c>
      <c r="F39" s="94">
        <v>438.50093636571637</v>
      </c>
      <c r="H39" s="92">
        <f t="shared" si="14"/>
        <v>5978.0219780219768</v>
      </c>
      <c r="I39" s="54">
        <f t="shared" si="15"/>
        <v>17.802139954166336</v>
      </c>
      <c r="J39" s="64">
        <f t="shared" si="16"/>
        <v>44.181257209243959</v>
      </c>
      <c r="K39" s="2">
        <f t="shared" si="17"/>
        <v>105.34998514129015</v>
      </c>
      <c r="L39" s="64">
        <f t="shared" si="18"/>
        <v>438.50093636571637</v>
      </c>
      <c r="M39" s="56"/>
      <c r="N39" s="91">
        <v>11144.442205645912</v>
      </c>
      <c r="O39" s="90">
        <v>27658.217990021065</v>
      </c>
      <c r="P39" s="54">
        <f t="shared" si="19"/>
        <v>11.144442205645912</v>
      </c>
      <c r="Q39" s="54">
        <f t="shared" si="20"/>
        <v>27.658217990021065</v>
      </c>
      <c r="R39" s="90">
        <v>0.9490606428572177</v>
      </c>
      <c r="S39" s="89">
        <v>0.76536742295264715</v>
      </c>
      <c r="T39" s="88">
        <v>115.43822229528858</v>
      </c>
      <c r="U39" s="87">
        <f t="shared" si="21"/>
        <v>0.11543822229528858</v>
      </c>
      <c r="AO39" s="91">
        <v>482.71405297865522</v>
      </c>
      <c r="AP39" s="89">
        <v>8362.9988133519837</v>
      </c>
      <c r="AQ39" s="5">
        <f t="shared" si="22"/>
        <v>0.48271405297865522</v>
      </c>
      <c r="AR39" s="41">
        <f t="shared" si="23"/>
        <v>8.3629988133519841</v>
      </c>
      <c r="AT39" s="54">
        <v>14.399999999999981</v>
      </c>
      <c r="AU39" s="54">
        <v>0</v>
      </c>
      <c r="AW39" s="54">
        <v>300</v>
      </c>
      <c r="AX39" s="54">
        <v>268.22355064009918</v>
      </c>
      <c r="AY39" s="54">
        <v>143.94110413279464</v>
      </c>
      <c r="AZ39" s="54">
        <v>123.85402465626683</v>
      </c>
      <c r="BA39" s="54">
        <v>0</v>
      </c>
      <c r="BB39" s="54">
        <v>0</v>
      </c>
      <c r="BD39" s="54">
        <f t="shared" si="10"/>
        <v>-626.24006180251729</v>
      </c>
      <c r="BE39" s="54">
        <f t="shared" si="11"/>
        <v>-626.24006180251729</v>
      </c>
      <c r="BF39" s="54">
        <f t="shared" si="12"/>
        <v>-4.4225993065149529</v>
      </c>
      <c r="BG39" s="54">
        <f t="shared" si="13"/>
        <v>-4.4225993065149529</v>
      </c>
    </row>
    <row r="40" spans="2:59" x14ac:dyDescent="0.25">
      <c r="B40" s="93">
        <v>6153.8461538461534</v>
      </c>
      <c r="C40" s="95">
        <v>2515.6262354021846</v>
      </c>
      <c r="D40" s="95">
        <v>105.15514310368576</v>
      </c>
      <c r="E40" s="95">
        <v>6184.4826857490007</v>
      </c>
      <c r="F40" s="94">
        <v>426.90373591517653</v>
      </c>
      <c r="H40" s="92">
        <f t="shared" si="14"/>
        <v>6153.8461538461534</v>
      </c>
      <c r="I40" s="54">
        <f t="shared" si="15"/>
        <v>17.765722001427857</v>
      </c>
      <c r="J40" s="64">
        <f t="shared" si="16"/>
        <v>43.675725181843227</v>
      </c>
      <c r="K40" s="2">
        <f t="shared" si="17"/>
        <v>105.15514310368576</v>
      </c>
      <c r="L40" s="64">
        <f t="shared" si="18"/>
        <v>426.90373591517653</v>
      </c>
      <c r="M40" s="56"/>
      <c r="N40" s="91">
        <v>11448.751123159858</v>
      </c>
      <c r="O40" s="90">
        <v>28145.915358253413</v>
      </c>
      <c r="P40" s="54">
        <f t="shared" si="19"/>
        <v>11.448751123159859</v>
      </c>
      <c r="Q40" s="54">
        <f t="shared" si="20"/>
        <v>28.145915358253415</v>
      </c>
      <c r="R40" s="90">
        <v>0.95001747095240052</v>
      </c>
      <c r="S40" s="89">
        <v>0.7776329136757435</v>
      </c>
      <c r="T40" s="88">
        <v>121.40551586440645</v>
      </c>
      <c r="U40" s="87">
        <f t="shared" si="21"/>
        <v>0.12140551586440645</v>
      </c>
      <c r="AO40" s="91">
        <v>480.93017013773402</v>
      </c>
      <c r="AP40" s="89">
        <v>7926.4896305626526</v>
      </c>
      <c r="AQ40" s="5">
        <f t="shared" si="22"/>
        <v>0.48093017013773404</v>
      </c>
      <c r="AR40" s="41">
        <f t="shared" si="23"/>
        <v>7.9264896305626529</v>
      </c>
      <c r="AT40" s="54">
        <v>14.799999999999979</v>
      </c>
      <c r="AU40" s="54">
        <v>0</v>
      </c>
      <c r="AW40" s="54">
        <v>300</v>
      </c>
      <c r="AX40" s="54">
        <v>268.53751045940817</v>
      </c>
      <c r="AY40" s="54">
        <v>147.97709838327231</v>
      </c>
      <c r="AZ40" s="54">
        <v>127.49679008733351</v>
      </c>
      <c r="BA40" s="54">
        <v>0</v>
      </c>
      <c r="BB40" s="54">
        <v>0</v>
      </c>
      <c r="BD40" s="54">
        <f t="shared" si="10"/>
        <v>-609.41714343083822</v>
      </c>
      <c r="BE40" s="54">
        <f t="shared" si="11"/>
        <v>-609.41714343083822</v>
      </c>
      <c r="BF40" s="54">
        <f t="shared" si="12"/>
        <v>-4.3037933858110042</v>
      </c>
      <c r="BG40" s="54">
        <f t="shared" si="13"/>
        <v>-4.3037933858110042</v>
      </c>
    </row>
    <row r="41" spans="2:59" x14ac:dyDescent="0.25">
      <c r="B41" s="93">
        <v>6329.670329670329</v>
      </c>
      <c r="C41" s="95">
        <v>2510.3464570450119</v>
      </c>
      <c r="D41" s="95">
        <v>104.95512692510363</v>
      </c>
      <c r="E41" s="95">
        <v>6115.9836097006173</v>
      </c>
      <c r="F41" s="94">
        <v>415.92391017725947</v>
      </c>
      <c r="H41" s="92">
        <f t="shared" si="14"/>
        <v>6329.670329670329</v>
      </c>
      <c r="I41" s="54">
        <f t="shared" si="15"/>
        <v>17.728435431108842</v>
      </c>
      <c r="J41" s="64">
        <f t="shared" si="16"/>
        <v>43.191974644778369</v>
      </c>
      <c r="K41" s="2">
        <f t="shared" si="17"/>
        <v>104.95512692510363</v>
      </c>
      <c r="L41" s="64">
        <f t="shared" si="18"/>
        <v>415.92391017725947</v>
      </c>
      <c r="M41" s="56"/>
      <c r="N41" s="91">
        <v>11751.143210903741</v>
      </c>
      <c r="O41" s="90">
        <v>28629.434423857016</v>
      </c>
      <c r="P41" s="54">
        <f t="shared" si="19"/>
        <v>11.751143210903741</v>
      </c>
      <c r="Q41" s="54">
        <f t="shared" si="20"/>
        <v>28.629434423857017</v>
      </c>
      <c r="R41" s="90">
        <v>0.95091099455510364</v>
      </c>
      <c r="S41" s="89">
        <v>0.78909171382573662</v>
      </c>
      <c r="T41" s="88">
        <v>127.51978381849023</v>
      </c>
      <c r="U41" s="87">
        <f t="shared" si="21"/>
        <v>0.12751978381849022</v>
      </c>
      <c r="AO41" s="91">
        <v>479.10235027907459</v>
      </c>
      <c r="AP41" s="89">
        <v>7523.9995281576566</v>
      </c>
      <c r="AQ41" s="5">
        <f t="shared" si="22"/>
        <v>0.47910235027907461</v>
      </c>
      <c r="AR41" s="41">
        <f t="shared" si="23"/>
        <v>7.523999528157657</v>
      </c>
      <c r="AT41" s="54">
        <v>15.199999999999978</v>
      </c>
      <c r="AU41" s="54">
        <v>0</v>
      </c>
      <c r="AW41" s="54">
        <v>300</v>
      </c>
      <c r="AX41" s="54">
        <v>268.84734349836532</v>
      </c>
      <c r="AY41" s="54">
        <v>152.00865196199459</v>
      </c>
      <c r="AZ41" s="54">
        <v>131.13955551840016</v>
      </c>
      <c r="BA41" s="54">
        <v>0</v>
      </c>
      <c r="BB41" s="54">
        <v>0</v>
      </c>
      <c r="BD41" s="54">
        <f t="shared" si="10"/>
        <v>-593.46708264351355</v>
      </c>
      <c r="BE41" s="54">
        <f t="shared" si="11"/>
        <v>-593.46708264351355</v>
      </c>
      <c r="BF41" s="54">
        <f t="shared" si="12"/>
        <v>-4.1911517135841354</v>
      </c>
      <c r="BG41" s="54">
        <f t="shared" si="13"/>
        <v>-4.1911517135841354</v>
      </c>
    </row>
    <row r="42" spans="2:59" x14ac:dyDescent="0.25">
      <c r="B42" s="93">
        <v>6505.4945054945047</v>
      </c>
      <c r="C42" s="95">
        <v>2504.9428999809206</v>
      </c>
      <c r="D42" s="95">
        <v>104.74990696603983</v>
      </c>
      <c r="E42" s="95">
        <v>6050.3167429002397</v>
      </c>
      <c r="F42" s="94">
        <v>405.51398605343877</v>
      </c>
      <c r="H42" s="92">
        <f t="shared" si="14"/>
        <v>6505.4945054945047</v>
      </c>
      <c r="I42" s="54">
        <f t="shared" si="15"/>
        <v>17.690274717379385</v>
      </c>
      <c r="J42" s="64">
        <f t="shared" si="16"/>
        <v>42.728225585453671</v>
      </c>
      <c r="K42" s="2">
        <f t="shared" si="17"/>
        <v>104.74990696603983</v>
      </c>
      <c r="L42" s="64">
        <f t="shared" si="18"/>
        <v>405.51398605343877</v>
      </c>
      <c r="M42" s="56"/>
      <c r="N42" s="91">
        <v>12051.56672473471</v>
      </c>
      <c r="O42" s="90">
        <v>29108.765686194762</v>
      </c>
      <c r="P42" s="54">
        <f t="shared" si="19"/>
        <v>12.051566724734711</v>
      </c>
      <c r="Q42" s="54">
        <f t="shared" si="20"/>
        <v>29.108765686194761</v>
      </c>
      <c r="R42" s="90">
        <v>0.95174600000729537</v>
      </c>
      <c r="S42" s="89">
        <v>0.79979691220118543</v>
      </c>
      <c r="T42" s="88">
        <v>133.78102615753994</v>
      </c>
      <c r="U42" s="87">
        <f t="shared" si="21"/>
        <v>0.13378102615753995</v>
      </c>
      <c r="AO42" s="91">
        <v>477.23059340267662</v>
      </c>
      <c r="AP42" s="89">
        <v>7152.0848799935147</v>
      </c>
      <c r="AQ42" s="5">
        <f t="shared" si="22"/>
        <v>0.47723059340267665</v>
      </c>
      <c r="AR42" s="41">
        <f t="shared" si="23"/>
        <v>7.1520848799935148</v>
      </c>
      <c r="AT42" s="54">
        <v>15.599999999999977</v>
      </c>
      <c r="AU42" s="54">
        <v>0</v>
      </c>
      <c r="AW42" s="54">
        <v>300</v>
      </c>
      <c r="AX42" s="54">
        <v>269.15656652168872</v>
      </c>
      <c r="AY42" s="54">
        <v>156.03564542627078</v>
      </c>
      <c r="AZ42" s="54">
        <v>134.78232094946685</v>
      </c>
      <c r="BA42" s="54">
        <v>0</v>
      </c>
      <c r="BB42" s="54">
        <v>0</v>
      </c>
      <c r="BD42" s="54">
        <f t="shared" si="10"/>
        <v>-578.3235780611576</v>
      </c>
      <c r="BE42" s="54">
        <f t="shared" si="11"/>
        <v>-578.3235780611576</v>
      </c>
      <c r="BF42" s="54">
        <f t="shared" si="12"/>
        <v>-4.0842060597539378</v>
      </c>
      <c r="BG42" s="54">
        <f t="shared" si="13"/>
        <v>-4.0842060597539378</v>
      </c>
    </row>
    <row r="43" spans="2:59" x14ac:dyDescent="0.25">
      <c r="B43" s="93">
        <v>6681.3186813186803</v>
      </c>
      <c r="C43" s="95">
        <v>2499.4147551710753</v>
      </c>
      <c r="D43" s="95">
        <v>104.53945258008959</v>
      </c>
      <c r="E43" s="95">
        <v>5987.2552837542107</v>
      </c>
      <c r="F43" s="94">
        <v>395.63123823779756</v>
      </c>
      <c r="H43" s="92">
        <f t="shared" si="14"/>
        <v>6681.3186813186803</v>
      </c>
      <c r="I43" s="54">
        <f t="shared" si="15"/>
        <v>17.651234146688385</v>
      </c>
      <c r="J43" s="54">
        <f t="shared" si="16"/>
        <v>42.282876297699232</v>
      </c>
      <c r="K43" s="54">
        <f t="shared" si="17"/>
        <v>104.53945258008959</v>
      </c>
      <c r="L43" s="64">
        <f t="shared" si="18"/>
        <v>395.63123823779756</v>
      </c>
      <c r="M43" s="56"/>
      <c r="N43" s="91">
        <v>12349.969382195586</v>
      </c>
      <c r="O43" s="90">
        <v>29583.893303331392</v>
      </c>
      <c r="P43" s="54">
        <f t="shared" si="19"/>
        <v>12.349969382195587</v>
      </c>
      <c r="Q43" s="54">
        <f t="shared" si="20"/>
        <v>29.583893303331394</v>
      </c>
      <c r="R43" s="90">
        <v>0.95252678351848241</v>
      </c>
      <c r="S43" s="89">
        <v>0.80979904414315462</v>
      </c>
      <c r="T43" s="88">
        <v>140.18924288155551</v>
      </c>
      <c r="U43" s="87">
        <f t="shared" si="21"/>
        <v>0.14018924288155551</v>
      </c>
      <c r="AO43" s="91">
        <v>475.31489950854058</v>
      </c>
      <c r="AP43" s="89">
        <v>6807.7270626211766</v>
      </c>
      <c r="AQ43" s="5">
        <f t="shared" si="22"/>
        <v>0.47531489950854061</v>
      </c>
      <c r="AR43" s="41">
        <f t="shared" si="23"/>
        <v>6.8077270626211766</v>
      </c>
      <c r="AT43" s="54">
        <v>15.999999999999975</v>
      </c>
      <c r="AU43" s="54">
        <v>0</v>
      </c>
      <c r="AW43" s="54">
        <v>300</v>
      </c>
      <c r="AX43" s="54">
        <v>269.46868810028923</v>
      </c>
      <c r="AY43" s="54">
        <v>160.05795909617342</v>
      </c>
      <c r="AZ43" s="54">
        <v>138.42508638053351</v>
      </c>
      <c r="BA43" s="54">
        <v>0</v>
      </c>
      <c r="BB43" s="54">
        <v>0</v>
      </c>
      <c r="BD43" s="54">
        <f t="shared" si="10"/>
        <v>-563.92687416575473</v>
      </c>
      <c r="BE43" s="54">
        <f t="shared" si="11"/>
        <v>-563.92687416575473</v>
      </c>
      <c r="BF43" s="54">
        <f t="shared" si="12"/>
        <v>-3.9825344220745391</v>
      </c>
      <c r="BG43" s="54">
        <f t="shared" si="13"/>
        <v>-3.9825344220745391</v>
      </c>
    </row>
    <row r="44" spans="2:59" x14ac:dyDescent="0.25">
      <c r="B44" s="93">
        <v>6857.142857142856</v>
      </c>
      <c r="C44" s="95">
        <v>2493.7611863290845</v>
      </c>
      <c r="D44" s="95">
        <v>104.32373208871032</v>
      </c>
      <c r="E44" s="95">
        <v>5926.5946009397558</v>
      </c>
      <c r="F44" s="94">
        <v>386.23711022061644</v>
      </c>
      <c r="H44" s="92">
        <f t="shared" si="14"/>
        <v>6857.142857142856</v>
      </c>
      <c r="I44" s="54">
        <f t="shared" si="15"/>
        <v>17.611307813058506</v>
      </c>
      <c r="J44" s="54">
        <f t="shared" si="16"/>
        <v>41.854481645054776</v>
      </c>
      <c r="K44" s="54">
        <f t="shared" si="17"/>
        <v>104.32373208871032</v>
      </c>
      <c r="L44" s="64">
        <f t="shared" si="18"/>
        <v>386.23711022061644</v>
      </c>
      <c r="M44" s="56"/>
      <c r="N44" s="91">
        <v>12646.298341854428</v>
      </c>
      <c r="O44" s="90">
        <v>30054.795898494376</v>
      </c>
      <c r="P44" s="54">
        <f t="shared" si="19"/>
        <v>12.646298341854429</v>
      </c>
      <c r="Q44" s="54">
        <f t="shared" si="20"/>
        <v>30.054795898494376</v>
      </c>
      <c r="R44" s="90">
        <v>0.95325721146525177</v>
      </c>
      <c r="S44" s="89">
        <v>0.81914594476396707</v>
      </c>
      <c r="T44" s="88">
        <v>146.74443399053706</v>
      </c>
      <c r="U44" s="87">
        <f t="shared" si="21"/>
        <v>0.14674443399053708</v>
      </c>
      <c r="AO44" s="91">
        <v>473.35526859666612</v>
      </c>
      <c r="AP44" s="89">
        <v>6488.2710316260664</v>
      </c>
      <c r="AQ44" s="5">
        <f t="shared" si="22"/>
        <v>0.47335526859666616</v>
      </c>
      <c r="AR44" s="41">
        <f t="shared" si="23"/>
        <v>6.4882710316260663</v>
      </c>
      <c r="AT44" s="54">
        <v>16.399999999999974</v>
      </c>
      <c r="AU44" s="54">
        <v>0</v>
      </c>
      <c r="AW44" s="54">
        <v>300</v>
      </c>
      <c r="AX44" s="54">
        <v>269.78722379425932</v>
      </c>
      <c r="AY44" s="54">
        <v>164.0754729978128</v>
      </c>
      <c r="AZ44" s="54">
        <v>142.06785181160021</v>
      </c>
      <c r="BA44" s="54">
        <v>0</v>
      </c>
      <c r="BB44" s="54">
        <v>0</v>
      </c>
      <c r="BD44" s="54">
        <f t="shared" si="10"/>
        <v>-550.22297281502779</v>
      </c>
      <c r="BE44" s="54">
        <f t="shared" si="11"/>
        <v>-550.22297281502779</v>
      </c>
      <c r="BF44" s="54">
        <f t="shared" si="12"/>
        <v>-3.8857554577332474</v>
      </c>
      <c r="BG44" s="54">
        <f t="shared" si="13"/>
        <v>-3.8857554577332474</v>
      </c>
    </row>
    <row r="45" spans="2:59" x14ac:dyDescent="0.25">
      <c r="B45" s="93">
        <v>7032.9670329670307</v>
      </c>
      <c r="C45" s="90">
        <v>2487.9813292237795</v>
      </c>
      <c r="D45" s="90">
        <v>104.10271275481068</v>
      </c>
      <c r="E45" s="90">
        <v>5839.9874808307859</v>
      </c>
      <c r="F45" s="89">
        <v>372.98666945177388</v>
      </c>
      <c r="H45" s="92">
        <f t="shared" si="14"/>
        <v>7032.9670329670307</v>
      </c>
      <c r="I45" s="54">
        <f t="shared" si="15"/>
        <v>17.570489613162284</v>
      </c>
      <c r="J45" s="54">
        <f t="shared" si="16"/>
        <v>41.242849440895384</v>
      </c>
      <c r="K45" s="54">
        <f t="shared" si="17"/>
        <v>104.10271275481068</v>
      </c>
      <c r="L45" s="64">
        <f t="shared" si="18"/>
        <v>372.98666945177388</v>
      </c>
      <c r="N45" s="91">
        <v>12940.500181963109</v>
      </c>
      <c r="O45" s="90">
        <v>30374.970330637789</v>
      </c>
      <c r="P45" s="54">
        <f t="shared" si="19"/>
        <v>12.94050018196311</v>
      </c>
      <c r="Q45" s="54">
        <f t="shared" si="20"/>
        <v>30.37497033063779</v>
      </c>
      <c r="R45" s="90">
        <v>0.95394077196474814</v>
      </c>
      <c r="S45" s="89">
        <v>0.83037663314526144</v>
      </c>
      <c r="T45" s="88">
        <v>153.44659948448449</v>
      </c>
      <c r="U45" s="87">
        <f t="shared" si="21"/>
        <v>0.1534465994844845</v>
      </c>
      <c r="AO45" s="91">
        <v>471.35170066705354</v>
      </c>
      <c r="AP45" s="89">
        <v>6050.7276567872659</v>
      </c>
      <c r="AQ45" s="5">
        <f t="shared" si="22"/>
        <v>0.47135170066705356</v>
      </c>
      <c r="AR45" s="41">
        <f t="shared" si="23"/>
        <v>6.0507276567872657</v>
      </c>
      <c r="AT45" s="54">
        <v>16.999999999999972</v>
      </c>
      <c r="AU45" s="54">
        <v>0</v>
      </c>
      <c r="AW45" s="54">
        <v>300</v>
      </c>
      <c r="AX45" s="54">
        <v>267.05663798773168</v>
      </c>
      <c r="AY45" s="54">
        <v>168.08806681067324</v>
      </c>
      <c r="AZ45" s="54">
        <v>145.71061724266684</v>
      </c>
      <c r="BA45" s="54">
        <v>0</v>
      </c>
      <c r="BB45" s="54">
        <v>0</v>
      </c>
      <c r="BD45" s="54">
        <f t="shared" si="10"/>
        <v>-537.1629560428255</v>
      </c>
      <c r="BE45" s="54">
        <f t="shared" si="11"/>
        <v>-537.1629560428255</v>
      </c>
      <c r="BF45" s="54">
        <f t="shared" si="12"/>
        <v>-3.7935237008674121</v>
      </c>
      <c r="BG45" s="54">
        <f t="shared" si="13"/>
        <v>-3.7935237008674121</v>
      </c>
    </row>
    <row r="46" spans="2:59" x14ac:dyDescent="0.25">
      <c r="B46" s="93">
        <v>7208.7912087912082</v>
      </c>
      <c r="C46" s="90">
        <v>2482.0742909495088</v>
      </c>
      <c r="D46" s="90">
        <v>103.87636075510947</v>
      </c>
      <c r="E46" s="90">
        <v>5784.5561465261999</v>
      </c>
      <c r="F46" s="89">
        <v>364.66847069173105</v>
      </c>
      <c r="H46" s="92">
        <f t="shared" si="14"/>
        <v>7208.7912087912082</v>
      </c>
      <c r="I46" s="54">
        <f t="shared" si="15"/>
        <v>17.528773241168849</v>
      </c>
      <c r="J46" s="54">
        <f t="shared" si="16"/>
        <v>40.851385215580507</v>
      </c>
      <c r="K46" s="54">
        <f t="shared" si="17"/>
        <v>103.87636075510947</v>
      </c>
      <c r="L46" s="64">
        <f t="shared" si="18"/>
        <v>364.66847069173105</v>
      </c>
      <c r="N46" s="91">
        <v>13232.520878398787</v>
      </c>
      <c r="O46" s="90">
        <v>30838.827129503941</v>
      </c>
      <c r="P46" s="54">
        <f t="shared" si="19"/>
        <v>13.232520878398788</v>
      </c>
      <c r="Q46" s="54">
        <f t="shared" si="20"/>
        <v>30.83882712950394</v>
      </c>
      <c r="R46" s="90">
        <v>0.95458061915836223</v>
      </c>
      <c r="S46" s="89">
        <v>0.83838527638682991</v>
      </c>
      <c r="T46" s="88">
        <v>160.29573936339784</v>
      </c>
      <c r="U46" s="87">
        <f t="shared" si="21"/>
        <v>0.16029573936339783</v>
      </c>
      <c r="AO46" s="91">
        <v>469.30419571970265</v>
      </c>
      <c r="AP46" s="89">
        <v>5783.8552628264042</v>
      </c>
      <c r="AQ46" s="5">
        <f t="shared" si="22"/>
        <v>0.46930419571970267</v>
      </c>
      <c r="AR46" s="41">
        <f t="shared" si="23"/>
        <v>5.7838552628264042</v>
      </c>
      <c r="AT46" s="54">
        <v>17.39999999999997</v>
      </c>
      <c r="AU46" s="54">
        <v>0</v>
      </c>
      <c r="AW46" s="54">
        <v>300</v>
      </c>
      <c r="AX46" s="54">
        <v>267.48087655691103</v>
      </c>
      <c r="AY46" s="54">
        <v>172.09561981810495</v>
      </c>
      <c r="AZ46" s="54">
        <v>149.35338267373353</v>
      </c>
      <c r="BA46" s="54">
        <v>0</v>
      </c>
      <c r="BB46" s="54">
        <v>0</v>
      </c>
      <c r="BD46" s="54">
        <f t="shared" si="10"/>
        <v>-524.70240224175825</v>
      </c>
      <c r="BE46" s="54">
        <f t="shared" si="11"/>
        <v>-524.70240224175825</v>
      </c>
      <c r="BF46" s="54">
        <f t="shared" si="12"/>
        <v>-3.7055254395604398</v>
      </c>
      <c r="BG46" s="54">
        <f t="shared" si="13"/>
        <v>-3.7055254395604398</v>
      </c>
    </row>
    <row r="47" spans="2:59" x14ac:dyDescent="0.25">
      <c r="B47" s="93">
        <v>7384.6153846153829</v>
      </c>
      <c r="C47" s="90">
        <v>2476.0391491623968</v>
      </c>
      <c r="D47" s="90">
        <v>103.64464115120514</v>
      </c>
      <c r="E47" s="90">
        <v>5730.94904606402</v>
      </c>
      <c r="F47" s="89">
        <v>356.73020362426513</v>
      </c>
      <c r="H47" s="92">
        <f t="shared" si="14"/>
        <v>7384.6153846153829</v>
      </c>
      <c r="I47" s="54">
        <f t="shared" si="15"/>
        <v>17.48615218335026</v>
      </c>
      <c r="J47" s="54">
        <f t="shared" si="16"/>
        <v>40.47280399762726</v>
      </c>
      <c r="K47" s="54">
        <f t="shared" si="17"/>
        <v>103.64464115120514</v>
      </c>
      <c r="L47" s="64">
        <f t="shared" si="18"/>
        <v>356.73020362426513</v>
      </c>
      <c r="N47" s="91">
        <v>13522.305781850164</v>
      </c>
      <c r="O47" s="90">
        <v>31298.231066861637</v>
      </c>
      <c r="P47" s="54">
        <f t="shared" si="19"/>
        <v>13.522305781850164</v>
      </c>
      <c r="Q47" s="54">
        <f t="shared" si="20"/>
        <v>31.298231066861639</v>
      </c>
      <c r="R47" s="90">
        <v>0.95517961137779372</v>
      </c>
      <c r="S47" s="89">
        <v>0.84587661044928319</v>
      </c>
      <c r="T47" s="88">
        <v>167.29185362727711</v>
      </c>
      <c r="U47" s="87">
        <f t="shared" si="21"/>
        <v>0.16729185362727711</v>
      </c>
      <c r="AO47" s="91">
        <v>467.21275375461374</v>
      </c>
      <c r="AP47" s="89">
        <v>5534.7849130245704</v>
      </c>
      <c r="AQ47" s="5">
        <f t="shared" si="22"/>
        <v>0.46721275375461374</v>
      </c>
      <c r="AR47" s="41">
        <f t="shared" si="23"/>
        <v>5.5347849130245708</v>
      </c>
      <c r="AT47" s="54">
        <v>17.799999999999969</v>
      </c>
      <c r="AU47" s="54">
        <v>0</v>
      </c>
      <c r="AW47" s="54">
        <v>300</v>
      </c>
      <c r="AX47" s="54">
        <v>267.92038869783948</v>
      </c>
      <c r="AY47" s="54">
        <v>176.0980108602177</v>
      </c>
      <c r="AZ47" s="54">
        <v>152.99614810480023</v>
      </c>
      <c r="BA47" s="54">
        <v>0</v>
      </c>
      <c r="BB47" s="54">
        <v>0</v>
      </c>
      <c r="BD47" s="54">
        <f t="shared" si="10"/>
        <v>-512.80088104218555</v>
      </c>
      <c r="BE47" s="54">
        <f t="shared" si="11"/>
        <v>-512.80088104218555</v>
      </c>
      <c r="BF47" s="54">
        <f t="shared" si="12"/>
        <v>-3.6214751486030052</v>
      </c>
      <c r="BG47" s="54">
        <f t="shared" si="13"/>
        <v>-3.6214751486030052</v>
      </c>
    </row>
    <row r="48" spans="2:59" x14ac:dyDescent="0.25">
      <c r="B48" s="93">
        <v>7560.4395604395586</v>
      </c>
      <c r="C48" s="90">
        <v>2469.8749512808999</v>
      </c>
      <c r="D48" s="90">
        <v>103.40751785929265</v>
      </c>
      <c r="E48" s="90">
        <v>5679.03348036834</v>
      </c>
      <c r="F48" s="89">
        <v>349.14683540962881</v>
      </c>
      <c r="H48" s="92">
        <f t="shared" si="14"/>
        <v>7560.4395604395586</v>
      </c>
      <c r="I48" s="54">
        <f t="shared" si="15"/>
        <v>17.442619712435736</v>
      </c>
      <c r="J48" s="54">
        <f t="shared" si="16"/>
        <v>40.106168646669069</v>
      </c>
      <c r="K48" s="54">
        <f t="shared" si="17"/>
        <v>103.40751785929265</v>
      </c>
      <c r="L48" s="64">
        <f t="shared" si="18"/>
        <v>349.14683540962881</v>
      </c>
      <c r="N48" s="91">
        <v>13809.799594208293</v>
      </c>
      <c r="O48" s="90">
        <v>31753.151799046907</v>
      </c>
      <c r="P48" s="54">
        <f t="shared" si="19"/>
        <v>13.809799594208293</v>
      </c>
      <c r="Q48" s="54">
        <f t="shared" si="20"/>
        <v>31.753151799046908</v>
      </c>
      <c r="R48" s="90">
        <v>0.95574034415494002</v>
      </c>
      <c r="S48" s="89">
        <v>0.85288687438776833</v>
      </c>
      <c r="T48" s="88">
        <v>174.43494227612226</v>
      </c>
      <c r="U48" s="87">
        <f t="shared" si="21"/>
        <v>0.17443494227612227</v>
      </c>
      <c r="AO48" s="91">
        <v>465.07737477178642</v>
      </c>
      <c r="AP48" s="89">
        <v>5301.9692556864884</v>
      </c>
      <c r="AQ48" s="5">
        <f t="shared" si="22"/>
        <v>0.46507737477178646</v>
      </c>
      <c r="AR48" s="41">
        <f t="shared" si="23"/>
        <v>5.3019692556864886</v>
      </c>
      <c r="AT48" s="54">
        <v>18.199999999999967</v>
      </c>
      <c r="AU48" s="54">
        <v>0</v>
      </c>
      <c r="AW48" s="54">
        <v>300</v>
      </c>
      <c r="AX48" s="54">
        <v>268.37906927358006</v>
      </c>
      <c r="AY48" s="54">
        <v>180.09511828853866</v>
      </c>
      <c r="AZ48" s="54">
        <v>156.63891353586686</v>
      </c>
      <c r="BA48" s="54">
        <v>0</v>
      </c>
      <c r="BB48" s="54">
        <v>0</v>
      </c>
      <c r="BD48" s="54">
        <f t="shared" si="10"/>
        <v>-501.42151478316737</v>
      </c>
      <c r="BE48" s="54">
        <f t="shared" si="11"/>
        <v>-501.42151478316737</v>
      </c>
      <c r="BF48" s="54">
        <f t="shared" si="12"/>
        <v>-3.5411123925364927</v>
      </c>
      <c r="BG48" s="54">
        <f t="shared" si="13"/>
        <v>-3.5411123925364927</v>
      </c>
    </row>
    <row r="49" spans="2:59" x14ac:dyDescent="0.25">
      <c r="B49" s="93">
        <v>7736.2637362637352</v>
      </c>
      <c r="C49" s="90">
        <v>2463.5807136488784</v>
      </c>
      <c r="D49" s="90">
        <v>103.16495361846086</v>
      </c>
      <c r="E49" s="90">
        <v>5628.6882089179462</v>
      </c>
      <c r="F49" s="89">
        <v>341.89548700257956</v>
      </c>
      <c r="H49" s="92">
        <f t="shared" si="14"/>
        <v>7736.2637362637352</v>
      </c>
      <c r="I49" s="54">
        <f t="shared" si="15"/>
        <v>17.398168881701118</v>
      </c>
      <c r="J49" s="54">
        <f t="shared" si="16"/>
        <v>39.750622944335781</v>
      </c>
      <c r="K49" s="54">
        <f t="shared" si="17"/>
        <v>103.16495361846086</v>
      </c>
      <c r="L49" s="64">
        <f t="shared" si="18"/>
        <v>341.89548700257956</v>
      </c>
      <c r="N49" s="91">
        <v>14094.946344119198</v>
      </c>
      <c r="O49" s="90">
        <v>32203.555521007464</v>
      </c>
      <c r="P49" s="54">
        <f t="shared" si="19"/>
        <v>14.094946344119199</v>
      </c>
      <c r="Q49" s="54">
        <f t="shared" si="20"/>
        <v>32.203555521007466</v>
      </c>
      <c r="R49" s="90">
        <v>0.95626517886799078</v>
      </c>
      <c r="S49" s="89">
        <v>0.85944979790211773</v>
      </c>
      <c r="T49" s="88">
        <v>181.72500530993335</v>
      </c>
      <c r="U49" s="87">
        <f t="shared" si="21"/>
        <v>0.18172500530993335</v>
      </c>
      <c r="AO49" s="91">
        <v>462.89805877122075</v>
      </c>
      <c r="AP49" s="89">
        <v>5084.0255135675961</v>
      </c>
      <c r="AQ49" s="5">
        <f t="shared" si="22"/>
        <v>0.46289805877122076</v>
      </c>
      <c r="AR49" s="41">
        <f t="shared" si="23"/>
        <v>5.084025513567596</v>
      </c>
      <c r="AT49" s="54">
        <v>18.599999999999966</v>
      </c>
      <c r="AU49" s="54">
        <v>0</v>
      </c>
      <c r="AW49" s="54">
        <v>300</v>
      </c>
      <c r="AX49" s="54">
        <v>268.8608560912848</v>
      </c>
      <c r="AY49" s="54">
        <v>184.08681992189267</v>
      </c>
      <c r="AZ49" s="54">
        <v>160.28167896693355</v>
      </c>
      <c r="BA49" s="54">
        <v>0</v>
      </c>
      <c r="BB49" s="54">
        <v>0</v>
      </c>
      <c r="BD49" s="54">
        <f t="shared" si="10"/>
        <v>-490.53059655298915</v>
      </c>
      <c r="BE49" s="54">
        <f t="shared" si="11"/>
        <v>-490.53059655298915</v>
      </c>
      <c r="BF49" s="54">
        <f t="shared" si="12"/>
        <v>-3.464199128199076</v>
      </c>
      <c r="BG49" s="54">
        <f t="shared" si="13"/>
        <v>-3.464199128199076</v>
      </c>
    </row>
    <row r="50" spans="2:59" x14ac:dyDescent="0.25">
      <c r="B50" s="93">
        <v>7912.0879120879099</v>
      </c>
      <c r="C50" s="90">
        <v>2457.1554206593091</v>
      </c>
      <c r="D50" s="90">
        <v>102.91690995749846</v>
      </c>
      <c r="E50" s="90">
        <v>5579.8022445353681</v>
      </c>
      <c r="F50" s="89">
        <v>334.95520643994797</v>
      </c>
      <c r="H50" s="92">
        <f t="shared" si="14"/>
        <v>7912.0879120879099</v>
      </c>
      <c r="I50" s="54">
        <f t="shared" si="15"/>
        <v>17.352792518780433</v>
      </c>
      <c r="J50" s="54">
        <f t="shared" si="16"/>
        <v>39.405383082876895</v>
      </c>
      <c r="K50" s="54">
        <f t="shared" si="17"/>
        <v>102.91690995749846</v>
      </c>
      <c r="L50" s="64">
        <f t="shared" si="18"/>
        <v>334.95520643994797</v>
      </c>
      <c r="N50" s="91">
        <v>14377.689361653236</v>
      </c>
      <c r="O50" s="90">
        <v>32649.405363971222</v>
      </c>
      <c r="P50" s="54">
        <f t="shared" si="19"/>
        <v>14.377689361653237</v>
      </c>
      <c r="Q50" s="54">
        <f t="shared" si="20"/>
        <v>32.649405363971219</v>
      </c>
      <c r="R50" s="90">
        <v>0.95675626767977751</v>
      </c>
      <c r="S50" s="89">
        <v>0.86559672548714639</v>
      </c>
      <c r="T50" s="88">
        <v>189.16204272871036</v>
      </c>
      <c r="U50" s="87">
        <f t="shared" si="21"/>
        <v>0.18916204272871037</v>
      </c>
      <c r="AO50" s="91">
        <v>460.67480575291717</v>
      </c>
      <c r="AP50" s="89">
        <v>4879.7149176783569</v>
      </c>
      <c r="AQ50" s="5">
        <f t="shared" si="22"/>
        <v>0.46067480575291719</v>
      </c>
      <c r="AR50" s="41">
        <f t="shared" si="23"/>
        <v>4.8797149176783572</v>
      </c>
      <c r="AT50" s="54">
        <v>18.999999999999964</v>
      </c>
      <c r="AU50" s="54">
        <v>0</v>
      </c>
      <c r="AW50" s="54">
        <v>300</v>
      </c>
      <c r="AX50" s="54">
        <v>269.36973773926337</v>
      </c>
      <c r="AY50" s="54">
        <v>188.07299300303626</v>
      </c>
      <c r="AZ50" s="54">
        <v>163.92444439800022</v>
      </c>
      <c r="BA50" s="54">
        <v>0</v>
      </c>
      <c r="BB50" s="54">
        <v>0</v>
      </c>
      <c r="BD50" s="54">
        <f t="shared" si="10"/>
        <v>-480.09725646446293</v>
      </c>
      <c r="BE50" s="54">
        <f t="shared" si="11"/>
        <v>-480.09725646446293</v>
      </c>
      <c r="BF50" s="54">
        <f t="shared" si="12"/>
        <v>-3.3905173479128741</v>
      </c>
      <c r="BG50" s="54">
        <f t="shared" si="13"/>
        <v>-3.3905173479128741</v>
      </c>
    </row>
    <row r="51" spans="2:59" x14ac:dyDescent="0.25">
      <c r="B51" s="93">
        <v>8087.9120879120865</v>
      </c>
      <c r="C51" s="90">
        <v>2450.5980238366064</v>
      </c>
      <c r="D51" s="90">
        <v>102.66334716013263</v>
      </c>
      <c r="E51" s="90">
        <v>5532.27379727067</v>
      </c>
      <c r="F51" s="89">
        <v>328.30677017517678</v>
      </c>
      <c r="H51" s="92">
        <f t="shared" si="14"/>
        <v>8087.9120879120865</v>
      </c>
      <c r="I51" s="54">
        <f t="shared" si="15"/>
        <v>17.306483219185075</v>
      </c>
      <c r="J51" s="54">
        <f t="shared" si="16"/>
        <v>39.069730206713771</v>
      </c>
      <c r="K51" s="54">
        <f t="shared" si="17"/>
        <v>102.66334716013263</v>
      </c>
      <c r="L51" s="64">
        <f t="shared" si="18"/>
        <v>328.30677017517678</v>
      </c>
      <c r="N51" s="91">
        <v>14657.971252043224</v>
      </c>
      <c r="O51" s="90">
        <v>33090.661744625766</v>
      </c>
      <c r="P51" s="54">
        <f t="shared" si="19"/>
        <v>14.657971252043223</v>
      </c>
      <c r="Q51" s="54">
        <f t="shared" si="20"/>
        <v>33.09066174462577</v>
      </c>
      <c r="R51" s="90">
        <v>0.95721557531391699</v>
      </c>
      <c r="S51" s="89">
        <v>0.87135674822236653</v>
      </c>
      <c r="T51" s="88">
        <v>196.74605453245331</v>
      </c>
      <c r="U51" s="87">
        <f t="shared" si="21"/>
        <v>0.19674605453245331</v>
      </c>
      <c r="AO51" s="91">
        <v>458.40761571687483</v>
      </c>
      <c r="AP51" s="89">
        <v>4687.9250782375111</v>
      </c>
      <c r="AQ51" s="5">
        <f t="shared" si="22"/>
        <v>0.45840761571687483</v>
      </c>
      <c r="AR51" s="41">
        <f t="shared" si="23"/>
        <v>4.6879250782375115</v>
      </c>
      <c r="AT51" s="54">
        <v>19.399999999999963</v>
      </c>
      <c r="AU51" s="54">
        <v>0</v>
      </c>
      <c r="AW51" s="54">
        <v>300</v>
      </c>
      <c r="AX51" s="54">
        <v>269.90976015169554</v>
      </c>
      <c r="AY51" s="54">
        <v>192.05351415563555</v>
      </c>
      <c r="AZ51" s="54">
        <v>167.56720982906688</v>
      </c>
      <c r="BA51" s="54">
        <v>0</v>
      </c>
      <c r="BB51" s="54">
        <v>0</v>
      </c>
      <c r="BD51" s="54">
        <f t="shared" si="10"/>
        <v>-470.09316920470087</v>
      </c>
      <c r="BE51" s="54">
        <f t="shared" si="11"/>
        <v>-470.09316920470087</v>
      </c>
      <c r="BF51" s="54">
        <f t="shared" si="12"/>
        <v>-3.319867014157492</v>
      </c>
      <c r="BG51" s="54">
        <f t="shared" si="13"/>
        <v>-3.319867014157492</v>
      </c>
    </row>
    <row r="52" spans="2:59" x14ac:dyDescent="0.25">
      <c r="B52" s="93">
        <v>8263.7362637362621</v>
      </c>
      <c r="C52" s="90">
        <v>2443.9074408754518</v>
      </c>
      <c r="D52" s="90">
        <v>102.40422422861955</v>
      </c>
      <c r="E52" s="90">
        <v>5463.6065295512053</v>
      </c>
      <c r="F52" s="89">
        <v>318.84305797343649</v>
      </c>
      <c r="H52" s="92">
        <f t="shared" si="14"/>
        <v>8263.7362637362621</v>
      </c>
      <c r="I52" s="54">
        <f t="shared" si="15"/>
        <v>17.259233339515902</v>
      </c>
      <c r="J52" s="54">
        <f t="shared" si="16"/>
        <v>38.584791875361624</v>
      </c>
      <c r="K52" s="54">
        <f t="shared" si="17"/>
        <v>102.40422422861955</v>
      </c>
      <c r="L52" s="64">
        <f t="shared" si="18"/>
        <v>318.84305797343649</v>
      </c>
      <c r="N52" s="91">
        <v>14935.733868440813</v>
      </c>
      <c r="O52" s="90">
        <v>33390.36975067298</v>
      </c>
      <c r="P52" s="54">
        <f t="shared" si="19"/>
        <v>14.935733868440813</v>
      </c>
      <c r="Q52" s="54">
        <f t="shared" si="20"/>
        <v>33.390369750672981</v>
      </c>
      <c r="R52" s="90">
        <v>0.9576448981242458</v>
      </c>
      <c r="S52" s="89">
        <v>0.87829869313444398</v>
      </c>
      <c r="T52" s="88">
        <v>204.47704072116213</v>
      </c>
      <c r="U52" s="87">
        <f t="shared" si="21"/>
        <v>0.20447704072116213</v>
      </c>
      <c r="AO52" s="91">
        <v>456.09648866309448</v>
      </c>
      <c r="AP52" s="89">
        <v>4421.5538275875597</v>
      </c>
      <c r="AQ52" s="5">
        <f t="shared" si="22"/>
        <v>0.45609648866309449</v>
      </c>
      <c r="AR52" s="41">
        <f t="shared" si="23"/>
        <v>4.4215538275875597</v>
      </c>
      <c r="AT52" s="54">
        <v>19.999999999999961</v>
      </c>
      <c r="AU52" s="54">
        <v>0</v>
      </c>
      <c r="AW52" s="54">
        <v>300</v>
      </c>
      <c r="AX52" s="54">
        <v>268.01702245763198</v>
      </c>
      <c r="AY52" s="54">
        <v>196.02825934122134</v>
      </c>
      <c r="AZ52" s="54">
        <v>171.20997526013355</v>
      </c>
      <c r="BA52" s="54">
        <v>0</v>
      </c>
      <c r="BB52" s="54">
        <v>0</v>
      </c>
      <c r="BD52" s="54">
        <f t="shared" si="10"/>
        <v>-460.49229702370525</v>
      </c>
      <c r="BE52" s="54">
        <f t="shared" si="11"/>
        <v>-460.49229702370525</v>
      </c>
      <c r="BF52" s="54">
        <f t="shared" si="12"/>
        <v>-3.2520642445176926</v>
      </c>
      <c r="BG52" s="54">
        <f t="shared" si="13"/>
        <v>-3.2520642445176926</v>
      </c>
    </row>
    <row r="53" spans="2:59" x14ac:dyDescent="0.25">
      <c r="B53" s="93">
        <v>8439.5604395604387</v>
      </c>
      <c r="C53" s="90">
        <v>2437.0825546338042</v>
      </c>
      <c r="D53" s="90">
        <v>102.13949884559982</v>
      </c>
      <c r="E53" s="90">
        <v>5419.0788212289572</v>
      </c>
      <c r="F53" s="89">
        <v>312.84995232503303</v>
      </c>
      <c r="H53" s="92">
        <f t="shared" si="14"/>
        <v>8439.5604395604387</v>
      </c>
      <c r="I53" s="54">
        <f t="shared" si="15"/>
        <v>17.211034990351724</v>
      </c>
      <c r="J53" s="54">
        <f t="shared" si="16"/>
        <v>38.270330658396588</v>
      </c>
      <c r="K53" s="54">
        <f t="shared" si="17"/>
        <v>102.13949884559982</v>
      </c>
      <c r="L53" s="64">
        <f t="shared" si="18"/>
        <v>312.84995232503303</v>
      </c>
      <c r="N53" s="91">
        <v>15210.918283636987</v>
      </c>
      <c r="O53" s="90">
        <v>33822.885878680179</v>
      </c>
      <c r="P53" s="54">
        <f t="shared" si="19"/>
        <v>15.210918283636987</v>
      </c>
      <c r="Q53" s="54">
        <f t="shared" si="20"/>
        <v>33.822885878680182</v>
      </c>
      <c r="R53" s="90">
        <v>0.95804588083939823</v>
      </c>
      <c r="S53" s="89">
        <v>0.8832689349855487</v>
      </c>
      <c r="T53" s="88">
        <v>212.35500129483688</v>
      </c>
      <c r="U53" s="87">
        <f t="shared" si="21"/>
        <v>0.21235500129483689</v>
      </c>
      <c r="AO53" s="91">
        <v>453.74142459157616</v>
      </c>
      <c r="AP53" s="89">
        <v>4256.8972857203289</v>
      </c>
      <c r="AQ53" s="5">
        <f t="shared" si="22"/>
        <v>0.45374142459157618</v>
      </c>
      <c r="AR53" s="41">
        <f t="shared" si="23"/>
        <v>4.2568972857203287</v>
      </c>
      <c r="AT53" s="54">
        <v>20.399999999999959</v>
      </c>
      <c r="AU53" s="54">
        <v>0</v>
      </c>
      <c r="AW53" s="54">
        <v>300</v>
      </c>
      <c r="AX53" s="54">
        <v>268.65337222480866</v>
      </c>
      <c r="AY53" s="54">
        <v>199.99710381579385</v>
      </c>
      <c r="AZ53" s="54">
        <v>174.85274069120024</v>
      </c>
      <c r="BA53" s="54">
        <v>0</v>
      </c>
      <c r="BB53" s="54">
        <v>0</v>
      </c>
      <c r="BD53" s="54">
        <f t="shared" si="10"/>
        <v>-451.27066325037646</v>
      </c>
      <c r="BE53" s="54">
        <f t="shared" si="11"/>
        <v>-451.27066325037646</v>
      </c>
      <c r="BF53" s="54">
        <f t="shared" si="12"/>
        <v>-3.1869397122201728</v>
      </c>
      <c r="BG53" s="54">
        <f t="shared" si="13"/>
        <v>-3.1869397122201728</v>
      </c>
    </row>
    <row r="54" spans="2:59" x14ac:dyDescent="0.25">
      <c r="B54" s="93">
        <v>8615.3846153846152</v>
      </c>
      <c r="C54" s="90">
        <v>2430.1222120776893</v>
      </c>
      <c r="D54" s="90">
        <v>101.869127334127</v>
      </c>
      <c r="E54" s="90">
        <v>5375.6123487743243</v>
      </c>
      <c r="F54" s="89">
        <v>307.09267891270724</v>
      </c>
      <c r="H54" s="92">
        <f t="shared" si="14"/>
        <v>8615.3846153846152</v>
      </c>
      <c r="I54" s="54">
        <f t="shared" si="15"/>
        <v>17.161880028797242</v>
      </c>
      <c r="J54" s="54">
        <f t="shared" si="16"/>
        <v>37.963364045016419</v>
      </c>
      <c r="K54" s="54">
        <f t="shared" si="17"/>
        <v>101.869127334127</v>
      </c>
      <c r="L54" s="64">
        <f t="shared" si="18"/>
        <v>307.09267891270724</v>
      </c>
      <c r="N54" s="91">
        <v>15483.464760689705</v>
      </c>
      <c r="O54" s="90">
        <v>34250.583759000991</v>
      </c>
      <c r="P54" s="54">
        <f t="shared" si="19"/>
        <v>15.483464760689705</v>
      </c>
      <c r="Q54" s="54">
        <f t="shared" si="20"/>
        <v>34.250583759000989</v>
      </c>
      <c r="R54" s="90">
        <v>0.95842003130383457</v>
      </c>
      <c r="S54" s="89">
        <v>0.88793381799937665</v>
      </c>
      <c r="T54" s="88">
        <v>220.37993625347752</v>
      </c>
      <c r="U54" s="87">
        <f t="shared" si="21"/>
        <v>0.22037993625347752</v>
      </c>
      <c r="AO54" s="91">
        <v>451.34242350231921</v>
      </c>
      <c r="AP54" s="89">
        <v>4101.6623944579296</v>
      </c>
      <c r="AQ54" s="5">
        <f t="shared" si="22"/>
        <v>0.45134242350231923</v>
      </c>
      <c r="AR54" s="41">
        <f t="shared" si="23"/>
        <v>4.1016623944579296</v>
      </c>
      <c r="AT54" s="54">
        <v>20.799999999999958</v>
      </c>
      <c r="AU54" s="54">
        <v>0</v>
      </c>
      <c r="AW54" s="54">
        <v>300</v>
      </c>
      <c r="AX54" s="54">
        <v>269.29501867038238</v>
      </c>
      <c r="AY54" s="54">
        <v>203.95992208577286</v>
      </c>
      <c r="AZ54" s="54">
        <v>178.4955061222669</v>
      </c>
      <c r="BA54" s="54">
        <v>0</v>
      </c>
      <c r="BB54" s="54">
        <v>0</v>
      </c>
      <c r="BD54" s="54">
        <f t="shared" si="10"/>
        <v>-442.40615218730301</v>
      </c>
      <c r="BE54" s="54">
        <f t="shared" si="11"/>
        <v>-442.40615218730301</v>
      </c>
      <c r="BF54" s="54">
        <f t="shared" si="12"/>
        <v>-3.1243372329611794</v>
      </c>
      <c r="BG54" s="54">
        <f t="shared" si="13"/>
        <v>-3.1243372329611794</v>
      </c>
    </row>
    <row r="55" spans="2:59" x14ac:dyDescent="0.25">
      <c r="B55" s="93">
        <v>8791.20879120879</v>
      </c>
      <c r="C55" s="90">
        <v>2423.0252231751738</v>
      </c>
      <c r="D55" s="90">
        <v>101.59306461577134</v>
      </c>
      <c r="E55" s="90">
        <v>5332.3771376019113</v>
      </c>
      <c r="F55" s="89">
        <v>301.55790675869474</v>
      </c>
      <c r="H55" s="92">
        <f t="shared" si="14"/>
        <v>8791.20879120879</v>
      </c>
      <c r="I55" s="54">
        <f t="shared" si="15"/>
        <v>17.111760050672132</v>
      </c>
      <c r="J55" s="54">
        <f t="shared" si="16"/>
        <v>37.658030632781859</v>
      </c>
      <c r="K55" s="54">
        <f t="shared" si="17"/>
        <v>101.59306461577134</v>
      </c>
      <c r="L55" s="64">
        <f t="shared" si="18"/>
        <v>301.55790675869474</v>
      </c>
      <c r="N55" s="91">
        <v>15753.31272239791</v>
      </c>
      <c r="O55" s="90">
        <v>34668.481284866481</v>
      </c>
      <c r="P55" s="54">
        <f t="shared" si="19"/>
        <v>15.75331272239791</v>
      </c>
      <c r="Q55" s="54">
        <f t="shared" si="20"/>
        <v>34.668481284866481</v>
      </c>
      <c r="R55" s="90">
        <v>0.95876873348666203</v>
      </c>
      <c r="S55" s="89">
        <v>0.89230113830479807</v>
      </c>
      <c r="T55" s="88">
        <v>228.55184559708405</v>
      </c>
      <c r="U55" s="87">
        <f t="shared" si="21"/>
        <v>0.22855184559708405</v>
      </c>
      <c r="AO55" s="91">
        <v>448.89948539532423</v>
      </c>
      <c r="AP55" s="89">
        <v>3955.1451384559405</v>
      </c>
      <c r="AQ55" s="5">
        <f t="shared" si="22"/>
        <v>0.44889948539532426</v>
      </c>
      <c r="AR55" s="41">
        <f t="shared" si="23"/>
        <v>3.9551451384559404</v>
      </c>
      <c r="AT55" s="54">
        <v>21.199999999999957</v>
      </c>
      <c r="AU55" s="54">
        <v>0</v>
      </c>
      <c r="AW55" s="54">
        <v>300</v>
      </c>
      <c r="AX55" s="54">
        <v>269.94203361390953</v>
      </c>
      <c r="AY55" s="54">
        <v>207.91658786300988</v>
      </c>
      <c r="AZ55" s="54">
        <v>182.13827155333357</v>
      </c>
      <c r="BA55" s="54">
        <v>0</v>
      </c>
      <c r="BB55" s="54">
        <v>0</v>
      </c>
      <c r="BD55" s="54">
        <f t="shared" si="10"/>
        <v>-433.87833186773207</v>
      </c>
      <c r="BE55" s="54">
        <f t="shared" si="11"/>
        <v>-433.87833186773207</v>
      </c>
      <c r="BF55" s="54">
        <f t="shared" si="12"/>
        <v>-3.0641125131901985</v>
      </c>
      <c r="BG55" s="54">
        <f t="shared" si="13"/>
        <v>-3.0641125131901985</v>
      </c>
    </row>
    <row r="56" spans="2:59" x14ac:dyDescent="0.25">
      <c r="B56" s="93">
        <v>8967.0329670329647</v>
      </c>
      <c r="C56" s="90">
        <v>2415.7903597367308</v>
      </c>
      <c r="D56" s="90">
        <v>101.31126416669277</v>
      </c>
      <c r="E56" s="90">
        <v>5264.1576338660716</v>
      </c>
      <c r="F56" s="89">
        <v>293.64618566089342</v>
      </c>
      <c r="H56" s="92">
        <f t="shared" si="14"/>
        <v>8967.0329670329647</v>
      </c>
      <c r="I56" s="54">
        <f t="shared" si="15"/>
        <v>17.060666382321546</v>
      </c>
      <c r="J56" s="54">
        <f t="shared" si="16"/>
        <v>37.176254476455313</v>
      </c>
      <c r="K56" s="54">
        <f t="shared" si="17"/>
        <v>101.31126416669277</v>
      </c>
      <c r="L56" s="64">
        <f t="shared" si="18"/>
        <v>293.64618566089342</v>
      </c>
      <c r="N56" s="91">
        <v>16020.400719557121</v>
      </c>
      <c r="O56" s="90">
        <v>34909.450816187833</v>
      </c>
      <c r="P56" s="54">
        <f t="shared" si="19"/>
        <v>16.02040071955712</v>
      </c>
      <c r="Q56" s="54">
        <f t="shared" si="20"/>
        <v>34.909450816187835</v>
      </c>
      <c r="R56" s="90">
        <v>0.95909325898816944</v>
      </c>
      <c r="S56" s="89">
        <v>0.89747675415631334</v>
      </c>
      <c r="T56" s="88">
        <v>236.87072932565658</v>
      </c>
      <c r="U56" s="87">
        <f t="shared" si="21"/>
        <v>0.23687072932565659</v>
      </c>
      <c r="AO56" s="91">
        <v>446.4126102705909</v>
      </c>
      <c r="AP56" s="89">
        <v>3750.3319762937367</v>
      </c>
      <c r="AQ56" s="5">
        <f t="shared" si="22"/>
        <v>0.44641261027059093</v>
      </c>
      <c r="AR56" s="41">
        <f t="shared" si="23"/>
        <v>3.7503319762937366</v>
      </c>
      <c r="AT56" s="54">
        <v>21.799999999999955</v>
      </c>
      <c r="AU56" s="54">
        <v>0</v>
      </c>
      <c r="AW56" s="54">
        <v>300</v>
      </c>
      <c r="AX56" s="54">
        <v>268.38344657525846</v>
      </c>
      <c r="AY56" s="54">
        <v>211.86697401859493</v>
      </c>
      <c r="AZ56" s="54">
        <v>185.78103698440026</v>
      </c>
      <c r="BA56" s="54">
        <v>0</v>
      </c>
      <c r="BB56" s="54">
        <v>0</v>
      </c>
      <c r="BD56" s="54">
        <f t="shared" si="10"/>
        <v>-425.6682966838535</v>
      </c>
      <c r="BE56" s="54">
        <f t="shared" si="11"/>
        <v>-425.6682966838535</v>
      </c>
      <c r="BF56" s="54">
        <f t="shared" si="12"/>
        <v>-3.0061320387277792</v>
      </c>
      <c r="BG56" s="54">
        <f t="shared" si="13"/>
        <v>-3.0061320387277792</v>
      </c>
    </row>
    <row r="57" spans="2:59" x14ac:dyDescent="0.25">
      <c r="B57" s="93">
        <v>9142.8571428571413</v>
      </c>
      <c r="C57" s="90">
        <v>2408.4163541990665</v>
      </c>
      <c r="D57" s="90">
        <v>101.02367797157224</v>
      </c>
      <c r="E57" s="90">
        <v>5216.3214408288886</v>
      </c>
      <c r="F57" s="89">
        <v>288.61560792498943</v>
      </c>
      <c r="H57" s="92">
        <f t="shared" si="14"/>
        <v>9142.8571428571413</v>
      </c>
      <c r="I57" s="54">
        <f t="shared" si="15"/>
        <v>17.008590072027307</v>
      </c>
      <c r="J57" s="54">
        <f t="shared" si="16"/>
        <v>36.838428254441304</v>
      </c>
      <c r="K57" s="54">
        <f t="shared" si="17"/>
        <v>101.02367797157224</v>
      </c>
      <c r="L57" s="64">
        <f t="shared" si="18"/>
        <v>288.61560792498943</v>
      </c>
      <c r="N57" s="91">
        <v>16284.666397928006</v>
      </c>
      <c r="O57" s="90">
        <v>35270.502270155412</v>
      </c>
      <c r="P57" s="54">
        <f t="shared" si="19"/>
        <v>16.284666397928007</v>
      </c>
      <c r="Q57" s="54">
        <f t="shared" si="20"/>
        <v>35.270502270155411</v>
      </c>
      <c r="R57" s="90">
        <v>0.9593947772395649</v>
      </c>
      <c r="S57" s="89">
        <v>0.90115005878104781</v>
      </c>
      <c r="T57" s="88">
        <v>245.336587439195</v>
      </c>
      <c r="U57" s="87">
        <f t="shared" si="21"/>
        <v>0.24533658743919501</v>
      </c>
      <c r="AO57" s="91">
        <v>443.88179812811939</v>
      </c>
      <c r="AP57" s="89">
        <v>3622.935579972916</v>
      </c>
      <c r="AQ57" s="5">
        <f t="shared" si="22"/>
        <v>0.4438817981281194</v>
      </c>
      <c r="AR57" s="41">
        <f t="shared" si="23"/>
        <v>3.6229355799729159</v>
      </c>
      <c r="AT57" s="54">
        <v>22.199999999999953</v>
      </c>
      <c r="AU57" s="54">
        <v>0</v>
      </c>
      <c r="AW57" s="54">
        <v>300</v>
      </c>
      <c r="AX57" s="54">
        <v>269.08601907135142</v>
      </c>
      <c r="AY57" s="54">
        <v>215.81095253519555</v>
      </c>
      <c r="AZ57" s="54">
        <v>189.42380241546692</v>
      </c>
      <c r="BA57" s="54">
        <v>0</v>
      </c>
      <c r="BB57" s="54">
        <v>0</v>
      </c>
      <c r="BD57" s="54">
        <f t="shared" si="10"/>
        <v>-417.75852733444782</v>
      </c>
      <c r="BE57" s="54">
        <f t="shared" si="11"/>
        <v>-417.75852733444782</v>
      </c>
      <c r="BF57" s="54">
        <f t="shared" si="12"/>
        <v>-2.9502720856952531</v>
      </c>
      <c r="BG57" s="54">
        <f t="shared" si="13"/>
        <v>-2.9502720856952531</v>
      </c>
    </row>
    <row r="58" spans="2:59" x14ac:dyDescent="0.25">
      <c r="B58" s="93">
        <v>9318.6813186813179</v>
      </c>
      <c r="C58" s="90">
        <v>2400.9018983492224</v>
      </c>
      <c r="D58" s="90">
        <v>100.73025647528088</v>
      </c>
      <c r="E58" s="90">
        <v>5167.0520674000727</v>
      </c>
      <c r="F58" s="89">
        <v>283.76808656348106</v>
      </c>
      <c r="H58" s="92">
        <f t="shared" si="14"/>
        <v>9318.6813186813179</v>
      </c>
      <c r="I58" s="54">
        <f t="shared" si="15"/>
        <v>16.955521880997335</v>
      </c>
      <c r="J58" s="54">
        <f t="shared" si="16"/>
        <v>36.490480701977916</v>
      </c>
      <c r="K58" s="54">
        <f t="shared" si="17"/>
        <v>100.73025647528088</v>
      </c>
      <c r="L58" s="64">
        <f t="shared" si="18"/>
        <v>283.76808656348106</v>
      </c>
      <c r="N58" s="91">
        <v>16546.046463844552</v>
      </c>
      <c r="O58" s="90">
        <v>35609.236531941853</v>
      </c>
      <c r="P58" s="54">
        <f t="shared" si="19"/>
        <v>16.546046463844551</v>
      </c>
      <c r="Q58" s="54">
        <f t="shared" si="20"/>
        <v>35.609236531941853</v>
      </c>
      <c r="R58" s="90">
        <v>0.95967436456260991</v>
      </c>
      <c r="S58" s="89">
        <v>0.90456641205008925</v>
      </c>
      <c r="T58" s="88">
        <v>253.9494199376993</v>
      </c>
      <c r="U58" s="87">
        <f t="shared" si="21"/>
        <v>0.25394941993769932</v>
      </c>
      <c r="AO58" s="91">
        <v>441.30704896790957</v>
      </c>
      <c r="AP58" s="89">
        <v>3502.2576171910036</v>
      </c>
      <c r="AQ58" s="5">
        <f t="shared" si="22"/>
        <v>0.44130704896790957</v>
      </c>
      <c r="AR58" s="41">
        <f t="shared" si="23"/>
        <v>3.5022576171910038</v>
      </c>
      <c r="AT58" s="54">
        <v>22.599999999999952</v>
      </c>
      <c r="AU58" s="54">
        <v>0</v>
      </c>
      <c r="AW58" s="54">
        <v>300</v>
      </c>
      <c r="AX58" s="54">
        <v>269.79193861805112</v>
      </c>
      <c r="AY58" s="54">
        <v>219.74839445767475</v>
      </c>
      <c r="AZ58" s="54">
        <v>193.06656784653359</v>
      </c>
      <c r="BA58" s="54">
        <v>0</v>
      </c>
      <c r="BB58" s="54">
        <v>0</v>
      </c>
      <c r="BD58" s="54">
        <f t="shared" si="10"/>
        <v>-410.13276590772671</v>
      </c>
      <c r="BE58" s="54">
        <f t="shared" si="11"/>
        <v>-410.13276590772671</v>
      </c>
      <c r="BF58" s="54">
        <f t="shared" si="12"/>
        <v>-2.8964178383314034</v>
      </c>
      <c r="BG58" s="54">
        <f t="shared" si="13"/>
        <v>-2.8964178383314034</v>
      </c>
    </row>
    <row r="59" spans="2:59" x14ac:dyDescent="0.25">
      <c r="B59" s="93">
        <v>9494.5054945054926</v>
      </c>
      <c r="C59" s="90">
        <v>2393.2456419855998</v>
      </c>
      <c r="D59" s="90">
        <v>100.43094853215919</v>
      </c>
      <c r="E59" s="90">
        <v>5091.2294494454763</v>
      </c>
      <c r="F59" s="89">
        <v>276.81936278295564</v>
      </c>
      <c r="H59" s="92">
        <f t="shared" si="14"/>
        <v>9494.5054945054926</v>
      </c>
      <c r="I59" s="54">
        <f t="shared" si="15"/>
        <v>16.901452273909605</v>
      </c>
      <c r="J59" s="54">
        <f t="shared" si="16"/>
        <v>35.95501023619687</v>
      </c>
      <c r="K59" s="54">
        <f t="shared" si="17"/>
        <v>100.43094853215919</v>
      </c>
      <c r="L59" s="64">
        <f t="shared" si="18"/>
        <v>276.81936278295564</v>
      </c>
      <c r="N59" s="91">
        <v>16804.476648383861</v>
      </c>
      <c r="O59" s="90">
        <v>35748.710827605697</v>
      </c>
      <c r="P59" s="54">
        <f t="shared" si="19"/>
        <v>16.804476648383861</v>
      </c>
      <c r="Q59" s="54">
        <f t="shared" si="20"/>
        <v>35.748710827605699</v>
      </c>
      <c r="R59" s="90">
        <v>0.95993301223176153</v>
      </c>
      <c r="S59" s="89">
        <v>0.90859921188206827</v>
      </c>
      <c r="T59" s="88">
        <v>262.70922682116952</v>
      </c>
      <c r="U59" s="87">
        <f t="shared" si="21"/>
        <v>0.26270922682116954</v>
      </c>
      <c r="AO59" s="91">
        <v>438.68836278996156</v>
      </c>
      <c r="AP59" s="89">
        <v>3332.8357734343463</v>
      </c>
      <c r="AQ59" s="5">
        <f t="shared" si="22"/>
        <v>0.43868836278996159</v>
      </c>
      <c r="AR59" s="41">
        <f t="shared" si="23"/>
        <v>3.3328357734343461</v>
      </c>
      <c r="AT59" s="54">
        <v>23.19999999999995</v>
      </c>
      <c r="AU59" s="54">
        <v>0</v>
      </c>
      <c r="AW59" s="54">
        <v>300</v>
      </c>
      <c r="AX59" s="54">
        <v>268.45876962176095</v>
      </c>
      <c r="AY59" s="54">
        <v>223.67916984173274</v>
      </c>
      <c r="AZ59" s="54">
        <v>196.70933327760025</v>
      </c>
      <c r="BA59" s="54">
        <v>0</v>
      </c>
      <c r="BB59" s="54">
        <v>0</v>
      </c>
      <c r="BD59" s="54">
        <f t="shared" si="10"/>
        <v>-402.7759042243718</v>
      </c>
      <c r="BE59" s="54">
        <f t="shared" si="11"/>
        <v>-402.7759042243718</v>
      </c>
      <c r="BF59" s="54">
        <f t="shared" si="12"/>
        <v>-2.8444626004546034</v>
      </c>
      <c r="BG59" s="54">
        <f t="shared" si="13"/>
        <v>-2.8444626004546034</v>
      </c>
    </row>
    <row r="60" spans="2:59" x14ac:dyDescent="0.25">
      <c r="B60" s="93">
        <v>9670.3296703296692</v>
      </c>
      <c r="C60" s="90">
        <v>2385.4461915122579</v>
      </c>
      <c r="D60" s="90">
        <v>100.12570135276935</v>
      </c>
      <c r="E60" s="90">
        <v>5039.3085527092298</v>
      </c>
      <c r="F60" s="89">
        <v>272.38918922820204</v>
      </c>
      <c r="H60" s="92">
        <f t="shared" si="14"/>
        <v>9670.3296703296692</v>
      </c>
      <c r="I60" s="54">
        <f t="shared" si="15"/>
        <v>16.846371408984872</v>
      </c>
      <c r="J60" s="54">
        <f t="shared" si="16"/>
        <v>35.588337236647106</v>
      </c>
      <c r="K60" s="54">
        <f t="shared" si="17"/>
        <v>100.12570135276935</v>
      </c>
      <c r="L60" s="64">
        <f t="shared" si="18"/>
        <v>272.38918922820204</v>
      </c>
      <c r="N60" s="91">
        <v>17059.891670014124</v>
      </c>
      <c r="O60" s="90">
        <v>36039.403574429089</v>
      </c>
      <c r="P60" s="54">
        <f t="shared" si="19"/>
        <v>17.059891670014125</v>
      </c>
      <c r="Q60" s="54">
        <f t="shared" si="20"/>
        <v>36.039403574429087</v>
      </c>
      <c r="R60" s="90">
        <v>0.96017163366112201</v>
      </c>
      <c r="S60" s="89">
        <v>0.9114987356370684</v>
      </c>
      <c r="T60" s="88">
        <v>271.61600808960571</v>
      </c>
      <c r="U60" s="87">
        <f t="shared" si="21"/>
        <v>0.27161600808960573</v>
      </c>
      <c r="AO60" s="91">
        <v>436.02573959427519</v>
      </c>
      <c r="AP60" s="89">
        <v>3227.0130299523967</v>
      </c>
      <c r="AQ60" s="5">
        <f t="shared" si="22"/>
        <v>0.43602573959427521</v>
      </c>
      <c r="AR60" s="41">
        <f t="shared" si="23"/>
        <v>3.2270130299523969</v>
      </c>
      <c r="AT60" s="54">
        <v>23.599999999999948</v>
      </c>
      <c r="AU60" s="54">
        <v>0</v>
      </c>
      <c r="AW60" s="54">
        <v>300</v>
      </c>
      <c r="AX60" s="54">
        <v>269.2091610241751</v>
      </c>
      <c r="AY60" s="54">
        <v>227.60314770031488</v>
      </c>
      <c r="AZ60" s="54">
        <v>200.35209870866694</v>
      </c>
      <c r="BA60" s="54">
        <v>0</v>
      </c>
      <c r="BB60" s="54">
        <v>0</v>
      </c>
      <c r="BD60" s="54">
        <f t="shared" si="10"/>
        <v>-395.67388382659095</v>
      </c>
      <c r="BE60" s="54">
        <f t="shared" si="11"/>
        <v>-395.67388382659095</v>
      </c>
      <c r="BF60" s="54">
        <f t="shared" si="12"/>
        <v>-2.7943070891708404</v>
      </c>
      <c r="BG60" s="54">
        <f t="shared" si="13"/>
        <v>-2.7943070891708404</v>
      </c>
    </row>
    <row r="61" spans="2:59" x14ac:dyDescent="0.25">
      <c r="B61" s="93">
        <v>9846.1538461538439</v>
      </c>
      <c r="C61" s="90">
        <v>2377.5021084626351</v>
      </c>
      <c r="D61" s="90">
        <v>99.814460447973786</v>
      </c>
      <c r="E61" s="90">
        <v>4986.6385906030564</v>
      </c>
      <c r="F61" s="89">
        <v>268.11144322235219</v>
      </c>
      <c r="H61" s="92">
        <f t="shared" si="14"/>
        <v>9846.1538461538439</v>
      </c>
      <c r="I61" s="54">
        <f t="shared" si="15"/>
        <v>16.790269127560983</v>
      </c>
      <c r="J61" s="54">
        <f t="shared" si="16"/>
        <v>35.216374227422719</v>
      </c>
      <c r="K61" s="54">
        <f t="shared" si="17"/>
        <v>99.814460447973786</v>
      </c>
      <c r="L61" s="64">
        <f t="shared" si="18"/>
        <v>268.11144322235219</v>
      </c>
      <c r="N61" s="91">
        <v>17312.225195631945</v>
      </c>
      <c r="O61" s="90">
        <v>36311.139301395728</v>
      </c>
      <c r="P61" s="54">
        <f t="shared" si="19"/>
        <v>17.312225195631946</v>
      </c>
      <c r="Q61" s="54">
        <f t="shared" si="20"/>
        <v>36.311139301395727</v>
      </c>
      <c r="R61" s="90">
        <v>0.96039107082140385</v>
      </c>
      <c r="S61" s="89">
        <v>0.91420459926536968</v>
      </c>
      <c r="T61" s="88">
        <v>280.66976374300776</v>
      </c>
      <c r="U61" s="87">
        <f t="shared" si="21"/>
        <v>0.28066976374300778</v>
      </c>
      <c r="AO61" s="91">
        <v>433.31917938085081</v>
      </c>
      <c r="AP61" s="89">
        <v>3126.451427340487</v>
      </c>
      <c r="AQ61" s="5">
        <f t="shared" si="22"/>
        <v>0.43331917938085079</v>
      </c>
      <c r="AR61" s="41">
        <f t="shared" si="23"/>
        <v>3.1264514273404873</v>
      </c>
      <c r="AT61" s="54">
        <v>23.999999999999947</v>
      </c>
      <c r="AU61" s="54">
        <v>0</v>
      </c>
      <c r="AW61" s="54">
        <v>300</v>
      </c>
      <c r="AX61" s="54">
        <v>269.96073705355144</v>
      </c>
      <c r="AY61" s="54">
        <v>231.5201959475234</v>
      </c>
      <c r="AZ61" s="54">
        <v>203.99486413973361</v>
      </c>
      <c r="BA61" s="54">
        <v>0</v>
      </c>
      <c r="BB61" s="54">
        <v>0</v>
      </c>
      <c r="BD61" s="54">
        <f t="shared" si="10"/>
        <v>-388.813606219696</v>
      </c>
      <c r="BE61" s="54">
        <f t="shared" si="11"/>
        <v>-388.813606219696</v>
      </c>
      <c r="BF61" s="54">
        <f t="shared" si="12"/>
        <v>-2.7458588009865537</v>
      </c>
      <c r="BG61" s="54">
        <f t="shared" si="13"/>
        <v>-2.7458588009865537</v>
      </c>
    </row>
    <row r="62" spans="2:59" x14ac:dyDescent="0.25">
      <c r="B62" s="93">
        <v>10021.97802197802</v>
      </c>
      <c r="C62" s="90">
        <v>2369.4119079485426</v>
      </c>
      <c r="D62" s="90">
        <v>99.49716957018272</v>
      </c>
      <c r="E62" s="90">
        <v>4906.8321625664266</v>
      </c>
      <c r="F62" s="89">
        <v>261.96440098598509</v>
      </c>
      <c r="H62" s="92">
        <f t="shared" si="14"/>
        <v>10021.97802197802</v>
      </c>
      <c r="I62" s="54">
        <f t="shared" si="15"/>
        <v>16.733134943139426</v>
      </c>
      <c r="J62" s="54">
        <f t="shared" si="16"/>
        <v>34.652769509649907</v>
      </c>
      <c r="K62" s="54">
        <f t="shared" si="17"/>
        <v>99.49716957018272</v>
      </c>
      <c r="L62" s="64">
        <f t="shared" si="18"/>
        <v>261.96440098598509</v>
      </c>
      <c r="N62" s="91">
        <v>17561.409799894085</v>
      </c>
      <c r="O62" s="90">
        <v>36368.049868010094</v>
      </c>
      <c r="P62" s="54">
        <f t="shared" si="19"/>
        <v>17.561409799894086</v>
      </c>
      <c r="Q62" s="54">
        <f t="shared" si="20"/>
        <v>36.368049868010097</v>
      </c>
      <c r="R62" s="90">
        <v>0.96059209997761841</v>
      </c>
      <c r="S62" s="89">
        <v>0.91738440234033869</v>
      </c>
      <c r="T62" s="88">
        <v>289.87049378137579</v>
      </c>
      <c r="U62" s="87">
        <f t="shared" si="21"/>
        <v>0.2898704937813758</v>
      </c>
      <c r="AO62" s="91">
        <v>430.56868214968796</v>
      </c>
      <c r="AP62" s="89">
        <v>2984.7333682325761</v>
      </c>
      <c r="AQ62" s="5">
        <f t="shared" si="22"/>
        <v>0.43056868214968796</v>
      </c>
      <c r="AR62" s="41">
        <f t="shared" si="23"/>
        <v>2.9847333682325763</v>
      </c>
      <c r="AT62" s="54">
        <v>24.599999999999945</v>
      </c>
      <c r="AU62" s="54">
        <v>0</v>
      </c>
      <c r="AW62" s="54">
        <v>300</v>
      </c>
      <c r="AX62" s="54">
        <v>268.81516685476998</v>
      </c>
      <c r="AY62" s="54">
        <v>235.43018133976207</v>
      </c>
      <c r="AZ62" s="54">
        <v>207.6376295708003</v>
      </c>
      <c r="BA62" s="54">
        <v>0</v>
      </c>
      <c r="BB62" s="54">
        <v>0</v>
      </c>
      <c r="BD62" s="54">
        <f t="shared" si="10"/>
        <v>-382.1828521600101</v>
      </c>
      <c r="BE62" s="54">
        <f t="shared" si="11"/>
        <v>-382.1828521600101</v>
      </c>
      <c r="BF62" s="54">
        <f t="shared" si="12"/>
        <v>-2.699031441807981</v>
      </c>
      <c r="BG62" s="54">
        <f t="shared" si="13"/>
        <v>-2.699031441807981</v>
      </c>
    </row>
    <row r="63" spans="2:59" x14ac:dyDescent="0.25">
      <c r="B63" s="93">
        <v>10197.802197802195</v>
      </c>
      <c r="C63" s="90">
        <v>2361.1740570299689</v>
      </c>
      <c r="D63" s="90">
        <v>99.173770651602595</v>
      </c>
      <c r="E63" s="90">
        <v>4852.9038127841832</v>
      </c>
      <c r="F63" s="89">
        <v>258.03605347602343</v>
      </c>
      <c r="H63" s="92">
        <f t="shared" si="14"/>
        <v>10197.802197802195</v>
      </c>
      <c r="I63" s="54">
        <f t="shared" si="15"/>
        <v>16.674958029872663</v>
      </c>
      <c r="J63" s="54">
        <f t="shared" si="16"/>
        <v>34.271919581809208</v>
      </c>
      <c r="K63" s="54">
        <f t="shared" si="17"/>
        <v>99.173770651602595</v>
      </c>
      <c r="L63" s="64">
        <f t="shared" si="18"/>
        <v>258.03605347602343</v>
      </c>
      <c r="N63" s="91">
        <v>17807.376922741874</v>
      </c>
      <c r="O63" s="90">
        <v>36599.371870433126</v>
      </c>
      <c r="P63" s="54">
        <f t="shared" si="19"/>
        <v>17.807376922741874</v>
      </c>
      <c r="Q63" s="54">
        <f t="shared" si="20"/>
        <v>36.599371870433124</v>
      </c>
      <c r="R63" s="90">
        <v>0.96077543682588085</v>
      </c>
      <c r="S63" s="89">
        <v>0.91969763572086016</v>
      </c>
      <c r="T63" s="88">
        <v>299.21819820470955</v>
      </c>
      <c r="U63" s="87">
        <f t="shared" si="21"/>
        <v>0.29921819820470957</v>
      </c>
      <c r="AO63" s="91">
        <v>427.77424790078697</v>
      </c>
      <c r="AP63" s="89">
        <v>2895.8880376598231</v>
      </c>
      <c r="AQ63" s="5">
        <f t="shared" si="22"/>
        <v>0.427774247900787</v>
      </c>
      <c r="AR63" s="41">
        <f t="shared" si="23"/>
        <v>2.8958880376598231</v>
      </c>
      <c r="AT63" s="54">
        <v>24.999999999999943</v>
      </c>
      <c r="AU63" s="54">
        <v>0</v>
      </c>
      <c r="AW63" s="54">
        <v>300</v>
      </c>
      <c r="AX63" s="54">
        <v>269.60084537146787</v>
      </c>
      <c r="AY63" s="54">
        <v>239.33296941382795</v>
      </c>
      <c r="AZ63" s="54">
        <v>211.28039500186694</v>
      </c>
      <c r="BA63" s="54">
        <v>0</v>
      </c>
      <c r="BB63" s="54">
        <v>0</v>
      </c>
      <c r="BD63" s="54">
        <f t="shared" si="10"/>
        <v>-375.77020894237029</v>
      </c>
      <c r="BE63" s="54">
        <f t="shared" si="11"/>
        <v>-375.77020894237029</v>
      </c>
      <c r="BF63" s="54">
        <f t="shared" si="12"/>
        <v>-2.6537444134348185</v>
      </c>
      <c r="BG63" s="54">
        <f t="shared" si="13"/>
        <v>-2.6537444134348185</v>
      </c>
    </row>
    <row r="64" spans="2:59" x14ac:dyDescent="0.25">
      <c r="B64" s="93">
        <v>10373.626373626372</v>
      </c>
      <c r="C64" s="90">
        <v>2352.7869730009334</v>
      </c>
      <c r="D64" s="90">
        <v>98.844203739304106</v>
      </c>
      <c r="E64" s="90">
        <v>4771.7670073034942</v>
      </c>
      <c r="F64" s="89">
        <v>252.38219193487706</v>
      </c>
      <c r="H64" s="92">
        <f t="shared" si="14"/>
        <v>10373.626373626372</v>
      </c>
      <c r="I64" s="54">
        <f t="shared" si="15"/>
        <v>16.615727210458569</v>
      </c>
      <c r="J64" s="54">
        <f t="shared" si="16"/>
        <v>33.698919543103777</v>
      </c>
      <c r="K64" s="54">
        <f t="shared" si="17"/>
        <v>98.844203739304106</v>
      </c>
      <c r="L64" s="64">
        <f t="shared" si="18"/>
        <v>252.38219193487706</v>
      </c>
      <c r="N64" s="91">
        <v>18050.056825009764</v>
      </c>
      <c r="O64" s="90">
        <v>36607.932050761432</v>
      </c>
      <c r="P64" s="54">
        <f t="shared" si="19"/>
        <v>18.050056825009765</v>
      </c>
      <c r="Q64" s="54">
        <f t="shared" si="20"/>
        <v>36.607932050761434</v>
      </c>
      <c r="R64" s="90">
        <v>0.96094174109724073</v>
      </c>
      <c r="S64" s="89">
        <v>0.92240415699938916</v>
      </c>
      <c r="T64" s="88">
        <v>308.71287701300935</v>
      </c>
      <c r="U64" s="87">
        <f t="shared" si="21"/>
        <v>0.30871287701300937</v>
      </c>
      <c r="AO64" s="91">
        <v>424.93587663414752</v>
      </c>
      <c r="AP64" s="89">
        <v>2770.3739874600337</v>
      </c>
      <c r="AQ64" s="5">
        <f t="shared" si="22"/>
        <v>0.4249358766341475</v>
      </c>
      <c r="AR64" s="41">
        <f t="shared" si="23"/>
        <v>2.7703739874600339</v>
      </c>
      <c r="AT64" s="54">
        <v>25.599999999999941</v>
      </c>
      <c r="AU64" s="54">
        <v>0</v>
      </c>
      <c r="AW64" s="54">
        <v>300</v>
      </c>
      <c r="AX64" s="54">
        <v>268.58172469107228</v>
      </c>
      <c r="AY64" s="54">
        <v>243.22842442165563</v>
      </c>
      <c r="AZ64" s="54">
        <v>214.92316043293363</v>
      </c>
      <c r="BA64" s="54">
        <v>0</v>
      </c>
      <c r="BB64" s="54">
        <v>0</v>
      </c>
      <c r="BD64" s="54">
        <f t="shared" si="10"/>
        <v>-369.56500477659876</v>
      </c>
      <c r="BE64" s="54">
        <f t="shared" si="11"/>
        <v>-369.56500477659876</v>
      </c>
      <c r="BF64" s="54">
        <f t="shared" si="12"/>
        <v>-2.6099223501172228</v>
      </c>
      <c r="BG64" s="54">
        <f t="shared" si="13"/>
        <v>-2.6099223501172228</v>
      </c>
    </row>
    <row r="65" spans="2:59" x14ac:dyDescent="0.25">
      <c r="B65" s="93">
        <v>10549.450549450548</v>
      </c>
      <c r="C65" s="90">
        <v>2344.2490215862599</v>
      </c>
      <c r="D65" s="90">
        <v>98.508406926915924</v>
      </c>
      <c r="E65" s="90">
        <v>4717.2752862568022</v>
      </c>
      <c r="F65" s="89">
        <v>248.76351736474277</v>
      </c>
      <c r="H65" s="92">
        <f t="shared" si="14"/>
        <v>10549.450549450548</v>
      </c>
      <c r="I65" s="54">
        <f t="shared" si="15"/>
        <v>16.555430943405792</v>
      </c>
      <c r="J65" s="54">
        <f t="shared" si="16"/>
        <v>33.314091004638435</v>
      </c>
      <c r="K65" s="54">
        <f t="shared" si="17"/>
        <v>98.508406926915924</v>
      </c>
      <c r="L65" s="64">
        <f t="shared" si="18"/>
        <v>248.76351736474277</v>
      </c>
      <c r="N65" s="91">
        <v>18289.378542001497</v>
      </c>
      <c r="O65" s="90">
        <v>36803.271581958295</v>
      </c>
      <c r="P65" s="54">
        <f t="shared" si="19"/>
        <v>18.289378542001497</v>
      </c>
      <c r="Q65" s="54">
        <f t="shared" si="20"/>
        <v>36.803271581958299</v>
      </c>
      <c r="R65" s="90">
        <v>0.96109162068747733</v>
      </c>
      <c r="S65" s="89">
        <v>0.92438919047184054</v>
      </c>
      <c r="T65" s="88">
        <v>318.35453020627511</v>
      </c>
      <c r="U65" s="87">
        <f t="shared" si="21"/>
        <v>0.31835453020627513</v>
      </c>
      <c r="AO65" s="91">
        <v>422.05356834977005</v>
      </c>
      <c r="AP65" s="89">
        <v>2691.4998669184301</v>
      </c>
      <c r="AQ65" s="5">
        <f t="shared" si="22"/>
        <v>0.42205356834977004</v>
      </c>
      <c r="AR65" s="41">
        <f t="shared" si="23"/>
        <v>2.6914998669184302</v>
      </c>
      <c r="AT65" s="54">
        <v>25.99999999999994</v>
      </c>
      <c r="AU65" s="54">
        <v>0</v>
      </c>
      <c r="AW65" s="54">
        <v>300</v>
      </c>
      <c r="AX65" s="54">
        <v>269.39363830001935</v>
      </c>
      <c r="AY65" s="54">
        <v>247.11640926139449</v>
      </c>
      <c r="AZ65" s="54">
        <v>218.56592586400029</v>
      </c>
      <c r="BA65" s="54">
        <v>0</v>
      </c>
      <c r="BB65" s="54">
        <v>0</v>
      </c>
      <c r="BD65" s="54">
        <f t="shared" si="10"/>
        <v>-363.55724945884339</v>
      </c>
      <c r="BE65" s="54">
        <f t="shared" si="11"/>
        <v>-363.55724945884339</v>
      </c>
      <c r="BF65" s="54">
        <f t="shared" si="12"/>
        <v>-2.5674946995681029</v>
      </c>
      <c r="BG65" s="54">
        <f t="shared" si="13"/>
        <v>-2.5674946995681029</v>
      </c>
    </row>
    <row r="66" spans="2:59" x14ac:dyDescent="0.25">
      <c r="B66" s="93">
        <v>10725.274725274723</v>
      </c>
      <c r="C66" s="90">
        <v>2335.5585150437623</v>
      </c>
      <c r="D66" s="90">
        <v>98.166316282735522</v>
      </c>
      <c r="E66" s="90">
        <v>4635.7076996685128</v>
      </c>
      <c r="F66" s="89">
        <v>243.54781700317818</v>
      </c>
      <c r="H66" s="92">
        <f t="shared" si="14"/>
        <v>10725.274725274723</v>
      </c>
      <c r="I66" s="54">
        <f t="shared" si="15"/>
        <v>16.494057309631092</v>
      </c>
      <c r="J66" s="54">
        <f t="shared" si="16"/>
        <v>32.738048726472549</v>
      </c>
      <c r="K66" s="54">
        <f t="shared" si="17"/>
        <v>98.166316282735522</v>
      </c>
      <c r="L66" s="64">
        <f t="shared" si="18"/>
        <v>243.54781700317818</v>
      </c>
      <c r="N66" s="91">
        <v>18525.269834909242</v>
      </c>
      <c r="O66" s="90">
        <v>36769.678626748726</v>
      </c>
      <c r="P66" s="54">
        <f t="shared" si="19"/>
        <v>18.525269834909242</v>
      </c>
      <c r="Q66" s="54">
        <f t="shared" si="20"/>
        <v>36.769678626748728</v>
      </c>
      <c r="R66" s="90">
        <v>0.96122563536411387</v>
      </c>
      <c r="S66" s="89">
        <v>0.92669953351397294</v>
      </c>
      <c r="T66" s="88">
        <v>328.1431577845068</v>
      </c>
      <c r="U66" s="87">
        <f t="shared" si="21"/>
        <v>0.32814315778450681</v>
      </c>
      <c r="AO66" s="91">
        <v>419.12732304765439</v>
      </c>
      <c r="AP66" s="89">
        <v>2579.8203689371517</v>
      </c>
      <c r="AQ66" s="5">
        <f t="shared" si="22"/>
        <v>0.41912732304765438</v>
      </c>
      <c r="AR66" s="41">
        <f t="shared" si="23"/>
        <v>2.5798203689371517</v>
      </c>
      <c r="AT66" s="54">
        <v>26.599999999999937</v>
      </c>
      <c r="AU66" s="54">
        <v>0</v>
      </c>
      <c r="AW66" s="54">
        <v>300</v>
      </c>
      <c r="AX66" s="54">
        <v>268.48275165011574</v>
      </c>
      <c r="AY66" s="54">
        <v>250.99678540448531</v>
      </c>
      <c r="AZ66" s="54">
        <v>222.20869129506698</v>
      </c>
      <c r="BA66" s="54">
        <v>0</v>
      </c>
      <c r="BB66" s="54">
        <v>0</v>
      </c>
      <c r="BD66" s="54">
        <f t="shared" si="10"/>
        <v>-357.73758064368093</v>
      </c>
      <c r="BE66" s="54">
        <f t="shared" si="11"/>
        <v>-357.73758064368093</v>
      </c>
      <c r="BF66" s="54">
        <f t="shared" si="12"/>
        <v>-2.52639534352882</v>
      </c>
      <c r="BG66" s="54">
        <f t="shared" si="13"/>
        <v>-2.52639534352882</v>
      </c>
    </row>
    <row r="67" spans="2:59" x14ac:dyDescent="0.25">
      <c r="B67" s="93">
        <v>10901.098901098898</v>
      </c>
      <c r="C67" s="90">
        <v>2326.7137101659255</v>
      </c>
      <c r="D67" s="90">
        <v>97.817865774032711</v>
      </c>
      <c r="E67" s="90">
        <v>4581.1691081109066</v>
      </c>
      <c r="F67" s="89">
        <v>240.20491276585895</v>
      </c>
      <c r="H67" s="92">
        <f t="shared" si="14"/>
        <v>10901.098901098898</v>
      </c>
      <c r="I67" s="54">
        <f t="shared" si="15"/>
        <v>16.431593998346933</v>
      </c>
      <c r="J67" s="54">
        <f t="shared" si="16"/>
        <v>32.352889181574199</v>
      </c>
      <c r="K67" s="54">
        <f t="shared" si="17"/>
        <v>97.817865774032711</v>
      </c>
      <c r="L67" s="64">
        <f t="shared" si="18"/>
        <v>240.20491276585895</v>
      </c>
      <c r="N67" s="91">
        <v>18757.65713994177</v>
      </c>
      <c r="O67" s="90">
        <v>36932.777356570063</v>
      </c>
      <c r="P67" s="54">
        <f t="shared" si="19"/>
        <v>18.75765713994177</v>
      </c>
      <c r="Q67" s="54">
        <f t="shared" si="20"/>
        <v>36.932777356570064</v>
      </c>
      <c r="R67" s="90">
        <v>0.96134430009527627</v>
      </c>
      <c r="S67" s="89">
        <v>0.92840738005233892</v>
      </c>
      <c r="T67" s="88">
        <v>338.07875974770423</v>
      </c>
      <c r="U67" s="87">
        <f t="shared" si="21"/>
        <v>0.33807875974770424</v>
      </c>
      <c r="AO67" s="91">
        <v>416.15714072780031</v>
      </c>
      <c r="AP67" s="89">
        <v>2509.4858778477465</v>
      </c>
      <c r="AQ67" s="5">
        <f t="shared" si="22"/>
        <v>0.4161571407278003</v>
      </c>
      <c r="AR67" s="41">
        <f t="shared" si="23"/>
        <v>2.5094858778477467</v>
      </c>
      <c r="AT67" s="54">
        <v>26.999999999999936</v>
      </c>
      <c r="AU67" s="54">
        <v>0</v>
      </c>
      <c r="AW67" s="54">
        <v>300</v>
      </c>
      <c r="AX67" s="54">
        <v>269.31341026514457</v>
      </c>
      <c r="AY67" s="54">
        <v>254.86941281837599</v>
      </c>
      <c r="AZ67" s="54">
        <v>225.85145672613362</v>
      </c>
      <c r="BA67" s="54">
        <v>0</v>
      </c>
      <c r="BB67" s="54">
        <v>0</v>
      </c>
      <c r="BD67" s="54">
        <f t="shared" si="10"/>
        <v>-352.0972151089365</v>
      </c>
      <c r="BE67" s="54">
        <f t="shared" si="11"/>
        <v>-352.0972151089365</v>
      </c>
      <c r="BF67" s="54">
        <f t="shared" si="12"/>
        <v>-2.4865622535941845</v>
      </c>
      <c r="BG67" s="54">
        <f t="shared" si="13"/>
        <v>-2.4865622535941845</v>
      </c>
    </row>
    <row r="68" spans="2:59" x14ac:dyDescent="0.25">
      <c r="B68" s="93">
        <v>11076.923076923074</v>
      </c>
      <c r="C68" s="90">
        <v>2317.7128061747017</v>
      </c>
      <c r="D68" s="90">
        <v>97.46298718730462</v>
      </c>
      <c r="E68" s="90">
        <v>4499.838347621725</v>
      </c>
      <c r="F68" s="89">
        <v>235.38027550409166</v>
      </c>
      <c r="H68" s="92">
        <f t="shared" si="14"/>
        <v>11076.923076923074</v>
      </c>
      <c r="I68" s="54">
        <f t="shared" si="15"/>
        <v>16.368028292194222</v>
      </c>
      <c r="J68" s="54">
        <f t="shared" si="16"/>
        <v>31.778519404108227</v>
      </c>
      <c r="K68" s="54">
        <f t="shared" si="17"/>
        <v>97.46298718730462</v>
      </c>
      <c r="L68" s="64">
        <f t="shared" si="18"/>
        <v>235.38027550409166</v>
      </c>
      <c r="N68" s="91">
        <v>18986.465515018059</v>
      </c>
      <c r="O68" s="90">
        <v>36862.214068396461</v>
      </c>
      <c r="P68" s="54">
        <f t="shared" si="19"/>
        <v>18.986465515018057</v>
      </c>
      <c r="Q68" s="54">
        <f t="shared" si="20"/>
        <v>36.862214068396462</v>
      </c>
      <c r="R68" s="90">
        <v>0.96144808803933646</v>
      </c>
      <c r="S68" s="89">
        <v>0.93038263522034137</v>
      </c>
      <c r="T68" s="88">
        <v>348.16133609586768</v>
      </c>
      <c r="U68" s="87">
        <f t="shared" si="21"/>
        <v>0.34816133609586769</v>
      </c>
      <c r="AO68" s="91">
        <v>413.14302139020799</v>
      </c>
      <c r="AP68" s="89">
        <v>2409.6896853525186</v>
      </c>
      <c r="AQ68" s="5">
        <f t="shared" si="22"/>
        <v>0.41314302139020798</v>
      </c>
      <c r="AR68" s="41">
        <f t="shared" si="23"/>
        <v>2.4096896853525185</v>
      </c>
      <c r="AT68" s="54">
        <v>27.599999999999934</v>
      </c>
      <c r="AU68" s="54">
        <v>0</v>
      </c>
      <c r="AW68" s="54">
        <v>300</v>
      </c>
      <c r="AX68" s="54">
        <v>268.49389704104118</v>
      </c>
      <c r="AY68" s="54">
        <v>258.73414988448684</v>
      </c>
      <c r="AZ68" s="54">
        <v>229.49422215720031</v>
      </c>
      <c r="BA68" s="54">
        <v>0</v>
      </c>
      <c r="BB68" s="54">
        <v>0</v>
      </c>
      <c r="BD68" s="54">
        <f t="shared" si="10"/>
        <v>-346.62790447939267</v>
      </c>
      <c r="BE68" s="54">
        <f t="shared" si="11"/>
        <v>-346.62790447939267</v>
      </c>
      <c r="BF68" s="54">
        <f t="shared" si="12"/>
        <v>-2.4479371785267845</v>
      </c>
      <c r="BG68" s="54">
        <f t="shared" si="13"/>
        <v>-2.4479371785267845</v>
      </c>
    </row>
    <row r="69" spans="2:59" x14ac:dyDescent="0.25">
      <c r="B69" s="93">
        <v>11252.747252747251</v>
      </c>
      <c r="C69" s="90">
        <v>2308.5539425025645</v>
      </c>
      <c r="D69" s="90">
        <v>97.1016100442219</v>
      </c>
      <c r="E69" s="90">
        <v>4445.6353833141566</v>
      </c>
      <c r="F69" s="89">
        <v>232.28403386000275</v>
      </c>
      <c r="H69" s="92">
        <f t="shared" ref="H69:H95" si="24">B69*$X$1</f>
        <v>11252.747252747251</v>
      </c>
      <c r="I69" s="54">
        <f t="shared" ref="I69:I95" si="25">C69/$X$2</f>
        <v>16.303347051571784</v>
      </c>
      <c r="J69" s="54">
        <f t="shared" ref="J69:J95" si="26">E69/$X$2</f>
        <v>31.395730108150826</v>
      </c>
      <c r="K69" s="54">
        <f t="shared" ref="K69:K95" si="27">D69*$AD$1</f>
        <v>97.1016100442219</v>
      </c>
      <c r="L69" s="64">
        <f t="shared" ref="L69:L95" si="28">$AD$1*F69</f>
        <v>232.28403386000275</v>
      </c>
      <c r="N69" s="91">
        <v>19211.618583871848</v>
      </c>
      <c r="O69" s="90">
        <v>36996.255437120511</v>
      </c>
      <c r="P69" s="54">
        <f t="shared" ref="P69:P95" si="29">N69*$AJ$1</f>
        <v>19.21161858387185</v>
      </c>
      <c r="Q69" s="54">
        <f t="shared" ref="Q69:Q95" si="30">O69*$AJ$1</f>
        <v>36.99625543712051</v>
      </c>
      <c r="R69" s="90">
        <v>0.96153743322932328</v>
      </c>
      <c r="S69" s="89">
        <v>0.93185410326779594</v>
      </c>
      <c r="T69" s="88">
        <v>358.390886828997</v>
      </c>
      <c r="U69" s="87">
        <f t="shared" ref="U69:U95" si="31">T69*$AJ$1</f>
        <v>0.358390886828997</v>
      </c>
      <c r="AO69" s="91">
        <v>410.08496503487743</v>
      </c>
      <c r="AP69" s="89">
        <v>2346.7115120365497</v>
      </c>
      <c r="AQ69" s="5">
        <f t="shared" ref="AQ69:AQ95" si="32">AO69*$AJ$1</f>
        <v>0.41008496503487746</v>
      </c>
      <c r="AR69" s="41">
        <f t="shared" ref="AR69:AR95" si="33">AP69*$AJ$1</f>
        <v>2.3467115120365496</v>
      </c>
      <c r="AT69" s="54">
        <v>27.999999999999932</v>
      </c>
      <c r="AU69" s="54">
        <v>0</v>
      </c>
      <c r="AW69" s="54">
        <v>300</v>
      </c>
      <c r="AX69" s="54">
        <v>269.33609630212368</v>
      </c>
      <c r="AY69" s="54">
        <v>262.59085331101079</v>
      </c>
      <c r="AZ69" s="54">
        <v>233.13698758826698</v>
      </c>
      <c r="BA69" s="54">
        <v>0</v>
      </c>
      <c r="BB69" s="54">
        <v>0</v>
      </c>
      <c r="BD69" s="54">
        <f t="shared" si="10"/>
        <v>-341.32189493973999</v>
      </c>
      <c r="BE69" s="54">
        <f t="shared" si="11"/>
        <v>-341.32189493973999</v>
      </c>
      <c r="BF69" s="54">
        <f t="shared" si="12"/>
        <v>-2.4104653597439265</v>
      </c>
      <c r="BG69" s="54">
        <f t="shared" si="13"/>
        <v>-2.4104653597439265</v>
      </c>
    </row>
    <row r="70" spans="2:59" x14ac:dyDescent="0.25">
      <c r="B70" s="93">
        <v>11428.571428571428</v>
      </c>
      <c r="C70" s="90">
        <v>2299.2351964524228</v>
      </c>
      <c r="D70" s="90">
        <v>96.73366151298616</v>
      </c>
      <c r="E70" s="90">
        <v>4365.034396535787</v>
      </c>
      <c r="F70" s="89">
        <v>227.80990856125337</v>
      </c>
      <c r="H70" s="92">
        <f t="shared" si="24"/>
        <v>11428.571428571428</v>
      </c>
      <c r="I70" s="54">
        <f t="shared" si="25"/>
        <v>16.237536698110333</v>
      </c>
      <c r="J70" s="54">
        <f t="shared" si="26"/>
        <v>30.826514099829005</v>
      </c>
      <c r="K70" s="54">
        <f t="shared" si="27"/>
        <v>96.73366151298616</v>
      </c>
      <c r="L70" s="64">
        <f t="shared" si="28"/>
        <v>227.80990856125337</v>
      </c>
      <c r="N70" s="91">
        <v>19433.038477401173</v>
      </c>
      <c r="O70" s="90">
        <v>36893.085802592366</v>
      </c>
      <c r="P70" s="54">
        <f t="shared" si="29"/>
        <v>19.433038477401173</v>
      </c>
      <c r="Q70" s="54">
        <f t="shared" si="30"/>
        <v>36.893085802592367</v>
      </c>
      <c r="R70" s="90">
        <v>0.96161273298179917</v>
      </c>
      <c r="S70" s="89">
        <v>0.93354315666171273</v>
      </c>
      <c r="T70" s="88">
        <v>368.7674119470924</v>
      </c>
      <c r="U70" s="87">
        <f t="shared" si="31"/>
        <v>0.36876741194709239</v>
      </c>
      <c r="AO70" s="91">
        <v>406.98297166180873</v>
      </c>
      <c r="AP70" s="89">
        <v>2257.1800569475549</v>
      </c>
      <c r="AQ70" s="5">
        <f t="shared" si="32"/>
        <v>0.40698297166180875</v>
      </c>
      <c r="AR70" s="41">
        <f t="shared" si="33"/>
        <v>2.2571800569475551</v>
      </c>
      <c r="AT70" s="54">
        <v>28.59999999999993</v>
      </c>
      <c r="AU70" s="54">
        <v>0</v>
      </c>
      <c r="AW70" s="54">
        <v>300</v>
      </c>
      <c r="AX70" s="54">
        <v>268.59220759963927</v>
      </c>
      <c r="AY70" s="54">
        <v>266.43937804009278</v>
      </c>
      <c r="AZ70" s="54">
        <v>236.77975301933367</v>
      </c>
      <c r="BA70" s="54">
        <v>0</v>
      </c>
      <c r="BB70" s="54">
        <v>0</v>
      </c>
      <c r="BD70" s="54">
        <f t="shared" ref="BD70:BD100" si="34">141.6*$BJ$2*R71*$AY$1/(B71*PI()/30+0.000001)</f>
        <v>-336.17181051443794</v>
      </c>
      <c r="BE70" s="54">
        <f t="shared" ref="BE70:BE100" si="35">141.6*$BJ$1*R71/(B71*PI()/30+0.000001)</f>
        <v>-336.17181051443794</v>
      </c>
      <c r="BF70" s="54">
        <f t="shared" ref="BF70:BF100" si="36">MIN(BD70/$X$2,I70)</f>
        <v>-2.3740947070228668</v>
      </c>
      <c r="BG70" s="54">
        <f t="shared" ref="BG70:BG100" si="37">MIN(BE70/$X$2,J70)</f>
        <v>-2.3740947070228668</v>
      </c>
    </row>
    <row r="71" spans="2:59" x14ac:dyDescent="0.25">
      <c r="B71" s="93">
        <v>11604.395604395602</v>
      </c>
      <c r="C71" s="90">
        <v>2289.7403615017779</v>
      </c>
      <c r="D71" s="90">
        <v>96.359066314795896</v>
      </c>
      <c r="E71" s="90">
        <v>4311.4483880299522</v>
      </c>
      <c r="F71" s="89">
        <v>224.93519895718268</v>
      </c>
      <c r="H71" s="92">
        <f t="shared" si="24"/>
        <v>11604.395604395602</v>
      </c>
      <c r="I71" s="54">
        <f t="shared" si="25"/>
        <v>16.170482778967358</v>
      </c>
      <c r="J71" s="54">
        <f t="shared" si="26"/>
        <v>30.44808183636972</v>
      </c>
      <c r="K71" s="54">
        <f t="shared" si="27"/>
        <v>96.359066314795896</v>
      </c>
      <c r="L71" s="64">
        <f t="shared" si="28"/>
        <v>224.93519895718268</v>
      </c>
      <c r="N71" s="91">
        <v>19650.523742855217</v>
      </c>
      <c r="O71" s="90">
        <v>37000.797269219838</v>
      </c>
      <c r="P71" s="54">
        <f t="shared" si="29"/>
        <v>19.650523742855217</v>
      </c>
      <c r="Q71" s="54">
        <f t="shared" si="30"/>
        <v>37.000797269219838</v>
      </c>
      <c r="R71" s="90">
        <v>0.96167412117939644</v>
      </c>
      <c r="S71" s="89">
        <v>0.93481119061699192</v>
      </c>
      <c r="T71" s="88">
        <v>379.2909114501536</v>
      </c>
      <c r="U71" s="87">
        <f t="shared" si="31"/>
        <v>0.37929091145015359</v>
      </c>
      <c r="AO71" s="91">
        <v>403.83704127100185</v>
      </c>
      <c r="AP71" s="89">
        <v>2200.5732405205063</v>
      </c>
      <c r="AQ71" s="5">
        <f t="shared" si="32"/>
        <v>0.40383704127100184</v>
      </c>
      <c r="AR71" s="41">
        <f t="shared" si="33"/>
        <v>2.2005732405205065</v>
      </c>
      <c r="AT71" s="54">
        <v>28.999999999999929</v>
      </c>
      <c r="AU71" s="54">
        <v>0.2</v>
      </c>
      <c r="AW71" s="54">
        <v>300</v>
      </c>
      <c r="AX71" s="54">
        <v>269.4389549707941</v>
      </c>
      <c r="AY71" s="54">
        <v>269.9689670636775</v>
      </c>
      <c r="AZ71" s="54">
        <v>240.42251845040033</v>
      </c>
      <c r="BA71" s="54">
        <v>0</v>
      </c>
      <c r="BB71" s="54">
        <v>0</v>
      </c>
      <c r="BD71" s="54">
        <f t="shared" si="34"/>
        <v>-331.15770072217339</v>
      </c>
      <c r="BE71" s="54">
        <f t="shared" si="35"/>
        <v>-331.15770072217339</v>
      </c>
      <c r="BF71" s="54">
        <f t="shared" si="36"/>
        <v>-2.338684327133993</v>
      </c>
      <c r="BG71" s="54">
        <f t="shared" si="37"/>
        <v>-2.338684327133993</v>
      </c>
    </row>
    <row r="72" spans="2:59" x14ac:dyDescent="0.25">
      <c r="B72" s="93">
        <v>11780.219780219777</v>
      </c>
      <c r="C72" s="90">
        <v>2277.7167480213939</v>
      </c>
      <c r="D72" s="90">
        <v>95.977746625094781</v>
      </c>
      <c r="E72" s="90">
        <v>4231.9379323336352</v>
      </c>
      <c r="F72" s="89">
        <v>220.77648355784726</v>
      </c>
      <c r="H72" s="92">
        <f t="shared" si="24"/>
        <v>11780.219780219777</v>
      </c>
      <c r="I72" s="54">
        <f t="shared" si="25"/>
        <v>16.085570254388376</v>
      </c>
      <c r="J72" s="54">
        <f t="shared" si="26"/>
        <v>29.886567318740362</v>
      </c>
      <c r="K72" s="54">
        <f t="shared" si="27"/>
        <v>95.977746625094781</v>
      </c>
      <c r="L72" s="64">
        <f t="shared" si="28"/>
        <v>220.77648355784726</v>
      </c>
      <c r="N72" s="91">
        <v>19843.509015556123</v>
      </c>
      <c r="O72" s="90">
        <v>36868.718898644926</v>
      </c>
      <c r="P72" s="54">
        <f t="shared" si="29"/>
        <v>19.843509015556123</v>
      </c>
      <c r="Q72" s="54">
        <f t="shared" si="30"/>
        <v>36.868718898644929</v>
      </c>
      <c r="R72" s="90">
        <v>0.96168393646642358</v>
      </c>
      <c r="S72" s="89">
        <v>0.93625350576876776</v>
      </c>
      <c r="T72" s="88">
        <v>389.96138533818061</v>
      </c>
      <c r="U72" s="87">
        <f t="shared" si="31"/>
        <v>0.38996138533818059</v>
      </c>
      <c r="AO72" s="91">
        <v>400.64717386245655</v>
      </c>
      <c r="AP72" s="89">
        <v>2119.9548352504667</v>
      </c>
      <c r="AQ72" s="5">
        <f t="shared" si="32"/>
        <v>0.40064717386245657</v>
      </c>
      <c r="AR72" s="41">
        <f t="shared" si="33"/>
        <v>2.1199548352504669</v>
      </c>
      <c r="AT72" s="54">
        <v>29.599999999999927</v>
      </c>
      <c r="AU72" s="54">
        <v>2.6</v>
      </c>
      <c r="AW72" s="54">
        <v>300</v>
      </c>
      <c r="AX72" s="54">
        <v>268.75585332552879</v>
      </c>
      <c r="AY72" s="54">
        <v>269.98534333462402</v>
      </c>
      <c r="AZ72" s="54">
        <v>244.06528388146697</v>
      </c>
      <c r="BA72" s="54">
        <v>0</v>
      </c>
      <c r="BB72" s="54">
        <v>0</v>
      </c>
      <c r="BD72" s="54">
        <f t="shared" si="34"/>
        <v>-326.26418933411935</v>
      </c>
      <c r="BE72" s="54">
        <f t="shared" si="35"/>
        <v>-326.26418933411935</v>
      </c>
      <c r="BF72" s="54">
        <f t="shared" si="36"/>
        <v>-2.3041256308906735</v>
      </c>
      <c r="BG72" s="54">
        <f t="shared" si="37"/>
        <v>-2.3041256308906735</v>
      </c>
    </row>
    <row r="73" spans="2:59" x14ac:dyDescent="0.25">
      <c r="B73" s="93">
        <v>11956.043956043954</v>
      </c>
      <c r="C73" s="90">
        <v>2261.4877965469145</v>
      </c>
      <c r="D73" s="90">
        <v>95.589621969249166</v>
      </c>
      <c r="E73" s="90">
        <v>4179.1734636184265</v>
      </c>
      <c r="F73" s="89">
        <v>218.10149677293148</v>
      </c>
      <c r="H73" s="92">
        <f t="shared" si="24"/>
        <v>11956.043956043954</v>
      </c>
      <c r="I73" s="54">
        <f t="shared" si="25"/>
        <v>15.970959015161826</v>
      </c>
      <c r="J73" s="54">
        <f t="shared" si="26"/>
        <v>29.51393688996064</v>
      </c>
      <c r="K73" s="54">
        <f t="shared" si="27"/>
        <v>95.589621969249166</v>
      </c>
      <c r="L73" s="64">
        <f t="shared" si="28"/>
        <v>218.10149677293148</v>
      </c>
      <c r="N73" s="91">
        <v>19996.183624155263</v>
      </c>
      <c r="O73" s="90">
        <v>36952.452320685079</v>
      </c>
      <c r="P73" s="54">
        <f t="shared" si="29"/>
        <v>19.996183624155265</v>
      </c>
      <c r="Q73" s="54">
        <f t="shared" si="30"/>
        <v>36.952452320685083</v>
      </c>
      <c r="R73" s="90">
        <v>0.96161454052262607</v>
      </c>
      <c r="S73" s="89">
        <v>0.93734491600565439</v>
      </c>
      <c r="T73" s="88">
        <v>400.77883361117358</v>
      </c>
      <c r="U73" s="87">
        <f t="shared" si="31"/>
        <v>0.40077883361117361</v>
      </c>
      <c r="AO73" s="91">
        <v>397.41336943617301</v>
      </c>
      <c r="AP73" s="89">
        <v>2068.8941760251901</v>
      </c>
      <c r="AQ73" s="5">
        <f t="shared" si="32"/>
        <v>0.397413369436173</v>
      </c>
      <c r="AR73" s="41">
        <f t="shared" si="33"/>
        <v>2.0688941760251902</v>
      </c>
      <c r="AT73" s="54">
        <v>29.999999999999925</v>
      </c>
      <c r="AU73" s="54">
        <v>5.0000000000000018</v>
      </c>
      <c r="AW73" s="54">
        <v>300</v>
      </c>
      <c r="AX73" s="54">
        <v>269.60030685139981</v>
      </c>
      <c r="AY73" s="54">
        <v>269.8328459099593</v>
      </c>
      <c r="AZ73" s="54">
        <v>247.70804931253366</v>
      </c>
      <c r="BA73" s="54">
        <v>0</v>
      </c>
      <c r="BB73" s="54">
        <v>0</v>
      </c>
      <c r="BD73" s="54">
        <f t="shared" si="34"/>
        <v>-321.49147544976887</v>
      </c>
      <c r="BE73" s="54">
        <f t="shared" si="35"/>
        <v>-321.49147544976887</v>
      </c>
      <c r="BF73" s="54">
        <f t="shared" si="36"/>
        <v>-2.2704200243627746</v>
      </c>
      <c r="BG73" s="54">
        <f t="shared" si="37"/>
        <v>-2.2704200243627746</v>
      </c>
    </row>
    <row r="74" spans="2:59" x14ac:dyDescent="0.25">
      <c r="B74" s="93">
        <v>12131.86813186813</v>
      </c>
      <c r="C74" s="90">
        <v>2242.1354454093175</v>
      </c>
      <c r="D74" s="90">
        <v>95.194609112272971</v>
      </c>
      <c r="E74" s="90">
        <v>4101.0138210737305</v>
      </c>
      <c r="F74" s="89">
        <v>214.2276541992469</v>
      </c>
      <c r="H74" s="92">
        <f t="shared" si="24"/>
        <v>12131.86813186813</v>
      </c>
      <c r="I74" s="54">
        <f t="shared" si="25"/>
        <v>15.83428986870987</v>
      </c>
      <c r="J74" s="54">
        <f t="shared" si="26"/>
        <v>28.961962013232561</v>
      </c>
      <c r="K74" s="54">
        <f t="shared" si="27"/>
        <v>95.194609112272971</v>
      </c>
      <c r="L74" s="64">
        <f t="shared" si="28"/>
        <v>214.2276541992469</v>
      </c>
      <c r="N74" s="91">
        <v>20116.614342084482</v>
      </c>
      <c r="O74" s="90">
        <v>36794.616319460489</v>
      </c>
      <c r="P74" s="54">
        <f t="shared" si="29"/>
        <v>20.116614342084482</v>
      </c>
      <c r="Q74" s="54">
        <f t="shared" si="30"/>
        <v>36.794616319460488</v>
      </c>
      <c r="R74" s="90">
        <v>0.96148221021807423</v>
      </c>
      <c r="S74" s="89">
        <v>0.93857259431202922</v>
      </c>
      <c r="T74" s="88">
        <v>411.74325626913264</v>
      </c>
      <c r="U74" s="87">
        <f t="shared" si="31"/>
        <v>0.41174325626913266</v>
      </c>
      <c r="AO74" s="91">
        <v>394.13562799215129</v>
      </c>
      <c r="AP74" s="89">
        <v>1996.0529121351101</v>
      </c>
      <c r="AQ74" s="5">
        <f t="shared" si="32"/>
        <v>0.39413562799215129</v>
      </c>
      <c r="AR74" s="41">
        <f t="shared" si="33"/>
        <v>1.99605291213511</v>
      </c>
      <c r="AT74" s="54">
        <v>30.599999999999923</v>
      </c>
      <c r="AU74" s="54">
        <v>7.2000000000000037</v>
      </c>
      <c r="AW74" s="54">
        <v>300</v>
      </c>
      <c r="AX74" s="54">
        <v>268.96389848757565</v>
      </c>
      <c r="AY74" s="54">
        <v>269.85399914801559</v>
      </c>
      <c r="AZ74" s="54">
        <v>251.35081474360035</v>
      </c>
      <c r="BA74" s="54">
        <v>0</v>
      </c>
      <c r="BB74" s="54">
        <v>0</v>
      </c>
      <c r="BD74" s="54">
        <f t="shared" si="34"/>
        <v>-316.83201328575217</v>
      </c>
      <c r="BE74" s="54">
        <f t="shared" si="35"/>
        <v>-316.83201328575217</v>
      </c>
      <c r="BF74" s="54">
        <f t="shared" si="36"/>
        <v>-2.2375142181197187</v>
      </c>
      <c r="BG74" s="54">
        <f t="shared" si="37"/>
        <v>-2.2375142181197187</v>
      </c>
    </row>
    <row r="75" spans="2:59" x14ac:dyDescent="0.25">
      <c r="B75" s="93">
        <v>12307.692307692307</v>
      </c>
      <c r="C75" s="90">
        <v>2219.3325137845145</v>
      </c>
      <c r="D75" s="90">
        <v>94.79262194218667</v>
      </c>
      <c r="E75" s="90">
        <v>4049.217039948941</v>
      </c>
      <c r="F75" s="89">
        <v>211.73337215022411</v>
      </c>
      <c r="H75" s="92">
        <f t="shared" si="24"/>
        <v>12307.692307692307</v>
      </c>
      <c r="I75" s="54">
        <f t="shared" si="25"/>
        <v>15.673252215992335</v>
      </c>
      <c r="J75" s="54">
        <f t="shared" si="26"/>
        <v>28.59616553636258</v>
      </c>
      <c r="K75" s="54">
        <f t="shared" si="27"/>
        <v>94.79262194218667</v>
      </c>
      <c r="L75" s="64">
        <f t="shared" si="28"/>
        <v>211.73337215022411</v>
      </c>
      <c r="N75" s="91">
        <v>20200.604725998546</v>
      </c>
      <c r="O75" s="90">
        <v>36856.411720974065</v>
      </c>
      <c r="P75" s="54">
        <f t="shared" si="29"/>
        <v>20.200604725998545</v>
      </c>
      <c r="Q75" s="54">
        <f t="shared" si="30"/>
        <v>36.856411720974066</v>
      </c>
      <c r="R75" s="90">
        <v>0.96127975868739279</v>
      </c>
      <c r="S75" s="89">
        <v>0.93950935289104742</v>
      </c>
      <c r="T75" s="88">
        <v>422.85465331205751</v>
      </c>
      <c r="U75" s="87">
        <f t="shared" si="31"/>
        <v>0.42285465331205752</v>
      </c>
      <c r="AO75" s="91">
        <v>390.81394953039126</v>
      </c>
      <c r="AP75" s="89">
        <v>1949.8428650585442</v>
      </c>
      <c r="AQ75" s="5">
        <f t="shared" si="32"/>
        <v>0.39081394953039128</v>
      </c>
      <c r="AR75" s="41">
        <f t="shared" si="33"/>
        <v>1.9498428650585442</v>
      </c>
      <c r="AT75" s="54">
        <v>30.999999999999922</v>
      </c>
      <c r="AU75" s="54">
        <v>9.3999999999999986</v>
      </c>
      <c r="AW75" s="54">
        <v>300</v>
      </c>
      <c r="AX75" s="54">
        <v>269.79931454053133</v>
      </c>
      <c r="AY75" s="54">
        <v>269.73130063065742</v>
      </c>
      <c r="AZ75" s="54">
        <v>254.99358017466702</v>
      </c>
      <c r="BA75" s="54">
        <v>0</v>
      </c>
      <c r="BB75" s="54">
        <v>0</v>
      </c>
      <c r="BD75" s="54">
        <f t="shared" si="34"/>
        <v>-312.28933594368021</v>
      </c>
      <c r="BE75" s="54">
        <f t="shared" si="35"/>
        <v>-312.28933594368021</v>
      </c>
      <c r="BF75" s="54">
        <f t="shared" si="36"/>
        <v>-2.2054331634440696</v>
      </c>
      <c r="BG75" s="54">
        <f t="shared" si="37"/>
        <v>-2.2054331634440696</v>
      </c>
    </row>
    <row r="76" spans="2:59" x14ac:dyDescent="0.25">
      <c r="B76" s="93">
        <v>12483.516483516481</v>
      </c>
      <c r="C76" s="90">
        <v>2194.7317603953616</v>
      </c>
      <c r="D76" s="90">
        <v>94.383571346562348</v>
      </c>
      <c r="E76" s="90">
        <v>3972.5918734747984</v>
      </c>
      <c r="F76" s="89">
        <v>208.11771298423514</v>
      </c>
      <c r="H76" s="92">
        <f t="shared" si="24"/>
        <v>12483.516483516481</v>
      </c>
      <c r="I76" s="54">
        <f t="shared" si="25"/>
        <v>15.499518081888148</v>
      </c>
      <c r="J76" s="54">
        <f t="shared" si="26"/>
        <v>28.055027355048011</v>
      </c>
      <c r="K76" s="54">
        <f t="shared" si="27"/>
        <v>94.383571346562348</v>
      </c>
      <c r="L76" s="64">
        <f t="shared" si="28"/>
        <v>208.11771298423514</v>
      </c>
      <c r="N76" s="91">
        <v>20262.067234913866</v>
      </c>
      <c r="O76" s="90">
        <v>36675.517751070736</v>
      </c>
      <c r="P76" s="54">
        <f t="shared" si="29"/>
        <v>20.262067234913868</v>
      </c>
      <c r="Q76" s="54">
        <f t="shared" si="30"/>
        <v>36.675517751070736</v>
      </c>
      <c r="R76" s="90">
        <v>0.96103278475937315</v>
      </c>
      <c r="S76" s="89">
        <v>0.94054867942958242</v>
      </c>
      <c r="T76" s="88">
        <v>434.11302473994823</v>
      </c>
      <c r="U76" s="87">
        <f t="shared" si="31"/>
        <v>0.43411302473994823</v>
      </c>
      <c r="AO76" s="91">
        <v>387.44833405089292</v>
      </c>
      <c r="AP76" s="89">
        <v>1883.8185735679983</v>
      </c>
      <c r="AQ76" s="5">
        <f t="shared" si="32"/>
        <v>0.38744833405089291</v>
      </c>
      <c r="AR76" s="41">
        <f t="shared" si="33"/>
        <v>1.8838185735679984</v>
      </c>
      <c r="AT76" s="54">
        <v>31.59999999999992</v>
      </c>
      <c r="AU76" s="54">
        <v>11.399999999999991</v>
      </c>
      <c r="AW76" s="54">
        <v>300</v>
      </c>
      <c r="AX76" s="54">
        <v>269.1961063143699</v>
      </c>
      <c r="AY76" s="54">
        <v>269.82383349740235</v>
      </c>
      <c r="AZ76" s="54">
        <v>258.63634560573365</v>
      </c>
      <c r="BA76" s="54">
        <v>0</v>
      </c>
      <c r="BB76" s="54">
        <v>0</v>
      </c>
      <c r="BD76" s="54">
        <f t="shared" si="34"/>
        <v>-307.85264288793184</v>
      </c>
      <c r="BE76" s="54">
        <f t="shared" si="35"/>
        <v>-307.85264288793184</v>
      </c>
      <c r="BF76" s="54">
        <f t="shared" si="36"/>
        <v>-2.1741005853667503</v>
      </c>
      <c r="BG76" s="54">
        <f t="shared" si="37"/>
        <v>-2.1741005853667503</v>
      </c>
    </row>
    <row r="77" spans="2:59" x14ac:dyDescent="0.25">
      <c r="B77" s="93">
        <v>12659.340659340658</v>
      </c>
      <c r="C77" s="90">
        <v>2167.3638524293897</v>
      </c>
      <c r="D77" s="90">
        <v>93.967365081768321</v>
      </c>
      <c r="E77" s="90">
        <v>3896.9505770340493</v>
      </c>
      <c r="F77" s="89">
        <v>204.64553083611227</v>
      </c>
      <c r="H77" s="92">
        <f t="shared" si="24"/>
        <v>12659.340659340658</v>
      </c>
      <c r="I77" s="54">
        <f t="shared" si="25"/>
        <v>15.306241895687782</v>
      </c>
      <c r="J77" s="54">
        <f t="shared" si="26"/>
        <v>27.520837408432552</v>
      </c>
      <c r="K77" s="54">
        <f t="shared" si="27"/>
        <v>93.967365081768321</v>
      </c>
      <c r="L77" s="64">
        <f t="shared" si="28"/>
        <v>204.64553083611227</v>
      </c>
      <c r="N77" s="91">
        <v>20291.225498821357</v>
      </c>
      <c r="O77" s="90">
        <v>36483.907779363522</v>
      </c>
      <c r="P77" s="54">
        <f t="shared" si="29"/>
        <v>20.291225498821358</v>
      </c>
      <c r="Q77" s="54">
        <f t="shared" si="30"/>
        <v>36.48390777936352</v>
      </c>
      <c r="R77" s="90">
        <v>0.96072276850013083</v>
      </c>
      <c r="S77" s="89">
        <v>0.94149123641142973</v>
      </c>
      <c r="T77" s="88">
        <v>445.51837055280487</v>
      </c>
      <c r="U77" s="87">
        <f t="shared" si="31"/>
        <v>0.44551837055280485</v>
      </c>
      <c r="AO77" s="91">
        <v>384.03878155365652</v>
      </c>
      <c r="AP77" s="89">
        <v>1821.4846446103702</v>
      </c>
      <c r="AQ77" s="5">
        <f t="shared" si="32"/>
        <v>0.38403878155365651</v>
      </c>
      <c r="AR77" s="41">
        <f t="shared" si="33"/>
        <v>1.8214846446103703</v>
      </c>
      <c r="AT77" s="54">
        <v>32.199999999999918</v>
      </c>
      <c r="AU77" s="54">
        <v>13.399999999999984</v>
      </c>
      <c r="AW77" s="54">
        <v>300</v>
      </c>
      <c r="AX77" s="54">
        <v>268.61818118818803</v>
      </c>
      <c r="AY77" s="54">
        <v>269.79597661727053</v>
      </c>
      <c r="AZ77" s="54">
        <v>262.27911103680032</v>
      </c>
      <c r="BA77" s="54">
        <v>0</v>
      </c>
      <c r="BB77" s="54">
        <v>0</v>
      </c>
      <c r="BD77" s="54">
        <f t="shared" si="34"/>
        <v>-303.51692078650484</v>
      </c>
      <c r="BE77" s="54">
        <f t="shared" si="35"/>
        <v>-303.51692078650484</v>
      </c>
      <c r="BF77" s="54">
        <f t="shared" si="36"/>
        <v>-2.1434810790007406</v>
      </c>
      <c r="BG77" s="54">
        <f t="shared" si="37"/>
        <v>-2.1434810790007406</v>
      </c>
    </row>
    <row r="78" spans="2:59" x14ac:dyDescent="0.25">
      <c r="B78" s="93">
        <v>12835.164835164833</v>
      </c>
      <c r="C78" s="90">
        <v>2137.2865882652172</v>
      </c>
      <c r="D78" s="90">
        <v>93.543907634385491</v>
      </c>
      <c r="E78" s="90">
        <v>3846.8987252123366</v>
      </c>
      <c r="F78" s="89">
        <v>202.40657329828309</v>
      </c>
      <c r="H78" s="92">
        <f t="shared" si="24"/>
        <v>12835.164835164833</v>
      </c>
      <c r="I78" s="54">
        <f t="shared" si="25"/>
        <v>15.093831838031196</v>
      </c>
      <c r="J78" s="54">
        <f t="shared" si="26"/>
        <v>27.167363878618197</v>
      </c>
      <c r="K78" s="54">
        <f t="shared" si="27"/>
        <v>93.543907634385491</v>
      </c>
      <c r="L78" s="64">
        <f t="shared" si="28"/>
        <v>202.40657329828309</v>
      </c>
      <c r="N78" s="91">
        <v>20287.548711104071</v>
      </c>
      <c r="O78" s="90">
        <v>36515.526604120947</v>
      </c>
      <c r="P78" s="54">
        <f t="shared" si="29"/>
        <v>20.287548711104073</v>
      </c>
      <c r="Q78" s="54">
        <f t="shared" si="30"/>
        <v>36.51552660412095</v>
      </c>
      <c r="R78" s="90">
        <v>0.96034762854455724</v>
      </c>
      <c r="S78" s="89">
        <v>0.94222151889068217</v>
      </c>
      <c r="T78" s="88">
        <v>457.07069075062759</v>
      </c>
      <c r="U78" s="87">
        <f t="shared" si="31"/>
        <v>0.45707069075062762</v>
      </c>
      <c r="AO78" s="91">
        <v>380.58529203868164</v>
      </c>
      <c r="AP78" s="89">
        <v>1781.8461779542592</v>
      </c>
      <c r="AQ78" s="5">
        <f t="shared" si="32"/>
        <v>0.38058529203868163</v>
      </c>
      <c r="AR78" s="41">
        <f t="shared" si="33"/>
        <v>1.7818461779542594</v>
      </c>
      <c r="AT78" s="54">
        <v>32.599999999999923</v>
      </c>
      <c r="AU78" s="54">
        <v>15.399999999999977</v>
      </c>
      <c r="AW78" s="54">
        <v>300</v>
      </c>
      <c r="AX78" s="54">
        <v>269.43276873155173</v>
      </c>
      <c r="AY78" s="54">
        <v>269.65147965783825</v>
      </c>
      <c r="AZ78" s="54">
        <v>265.92187646786704</v>
      </c>
      <c r="BA78" s="54">
        <v>0</v>
      </c>
      <c r="BB78" s="54">
        <v>0</v>
      </c>
      <c r="BD78" s="54">
        <f t="shared" si="34"/>
        <v>-299.29061261103232</v>
      </c>
      <c r="BE78" s="54">
        <f t="shared" si="35"/>
        <v>-299.29061261103232</v>
      </c>
      <c r="BF78" s="54">
        <f t="shared" si="36"/>
        <v>-2.1136342698519233</v>
      </c>
      <c r="BG78" s="54">
        <f t="shared" si="37"/>
        <v>-2.1136342698519233</v>
      </c>
    </row>
    <row r="79" spans="2:59" x14ac:dyDescent="0.25">
      <c r="B79" s="93">
        <v>13010.989010989009</v>
      </c>
      <c r="C79" s="90">
        <v>2106.9042805899408</v>
      </c>
      <c r="D79" s="90">
        <v>93.113100074221407</v>
      </c>
      <c r="E79" s="90">
        <v>3772.9698331847985</v>
      </c>
      <c r="F79" s="89">
        <v>199.15645117818735</v>
      </c>
      <c r="H79" s="92">
        <f t="shared" si="24"/>
        <v>13010.989010989009</v>
      </c>
      <c r="I79" s="54">
        <f t="shared" si="25"/>
        <v>14.879267518290543</v>
      </c>
      <c r="J79" s="54">
        <f t="shared" si="26"/>
        <v>26.645267183508466</v>
      </c>
      <c r="K79" s="54">
        <f t="shared" si="27"/>
        <v>93.113100074221407</v>
      </c>
      <c r="L79" s="64">
        <f t="shared" si="28"/>
        <v>199.15645117818735</v>
      </c>
      <c r="N79" s="91">
        <v>20273.114824575245</v>
      </c>
      <c r="O79" s="90">
        <v>36304.378591132052</v>
      </c>
      <c r="P79" s="54">
        <f t="shared" si="29"/>
        <v>20.273114824575245</v>
      </c>
      <c r="Q79" s="54">
        <f t="shared" si="30"/>
        <v>36.30437859113205</v>
      </c>
      <c r="R79" s="90">
        <v>0.95994757422569676</v>
      </c>
      <c r="S79" s="89">
        <v>0.94300794447760661</v>
      </c>
      <c r="T79" s="88">
        <v>468.76998533341606</v>
      </c>
      <c r="U79" s="87">
        <f t="shared" si="31"/>
        <v>0.46876998533341607</v>
      </c>
      <c r="AO79" s="91">
        <v>377.08786550596886</v>
      </c>
      <c r="AP79" s="89">
        <v>1725.0819963210165</v>
      </c>
      <c r="AQ79" s="5">
        <f t="shared" si="32"/>
        <v>0.37708786550596884</v>
      </c>
      <c r="AR79" s="41">
        <f t="shared" si="33"/>
        <v>1.7250819963210164</v>
      </c>
      <c r="AT79" s="54">
        <v>33.199999999999932</v>
      </c>
      <c r="AU79" s="54">
        <v>17.199999999999971</v>
      </c>
      <c r="AW79" s="54">
        <v>300</v>
      </c>
      <c r="AX79" s="54">
        <v>268.86678063190482</v>
      </c>
      <c r="AY79" s="54">
        <v>269.77129622332438</v>
      </c>
      <c r="AZ79" s="54">
        <v>269.5646418989337</v>
      </c>
      <c r="BA79" s="54">
        <v>0</v>
      </c>
      <c r="BB79" s="54">
        <v>0</v>
      </c>
      <c r="BD79" s="54">
        <f t="shared" si="34"/>
        <v>-295.1586867173117</v>
      </c>
      <c r="BE79" s="54">
        <f t="shared" si="35"/>
        <v>-295.1586867173117</v>
      </c>
      <c r="BF79" s="54">
        <f t="shared" si="36"/>
        <v>-2.0844540022409017</v>
      </c>
      <c r="BG79" s="54">
        <f t="shared" si="37"/>
        <v>-2.0844540022409017</v>
      </c>
    </row>
    <row r="80" spans="2:59" x14ac:dyDescent="0.25">
      <c r="B80" s="93">
        <v>13186.813186813186</v>
      </c>
      <c r="C80" s="90">
        <v>2074.4126341504252</v>
      </c>
      <c r="D80" s="90">
        <v>92.674839898296568</v>
      </c>
      <c r="E80" s="90">
        <v>3724.0820856386736</v>
      </c>
      <c r="F80" s="89">
        <v>197.05893329157391</v>
      </c>
      <c r="H80" s="92">
        <f t="shared" si="24"/>
        <v>13186.813186813186</v>
      </c>
      <c r="I80" s="54">
        <f t="shared" si="25"/>
        <v>14.649806738350462</v>
      </c>
      <c r="J80" s="54">
        <f t="shared" si="26"/>
        <v>26.30001472908668</v>
      </c>
      <c r="K80" s="54">
        <f t="shared" si="27"/>
        <v>92.674839898296568</v>
      </c>
      <c r="L80" s="64">
        <f t="shared" si="28"/>
        <v>197.05893329157391</v>
      </c>
      <c r="N80" s="91">
        <v>20230.20889042288</v>
      </c>
      <c r="O80" s="90">
        <v>36318.212335033873</v>
      </c>
      <c r="P80" s="54">
        <f t="shared" si="29"/>
        <v>20.23020889042288</v>
      </c>
      <c r="Q80" s="54">
        <f t="shared" si="30"/>
        <v>36.318212335033877</v>
      </c>
      <c r="R80" s="90">
        <v>0.95948796848761797</v>
      </c>
      <c r="S80" s="89">
        <v>0.94362402324219907</v>
      </c>
      <c r="T80" s="88">
        <v>480.61625430117044</v>
      </c>
      <c r="U80" s="87">
        <f t="shared" si="31"/>
        <v>0.48061625430117044</v>
      </c>
      <c r="AO80" s="91">
        <v>373.54650195551739</v>
      </c>
      <c r="AP80" s="89">
        <v>1688.936183731447</v>
      </c>
      <c r="AQ80" s="5">
        <f t="shared" si="32"/>
        <v>0.37354650195551742</v>
      </c>
      <c r="AR80" s="41">
        <f t="shared" si="33"/>
        <v>1.6889361837314472</v>
      </c>
      <c r="AT80" s="54">
        <v>33.599999999999937</v>
      </c>
      <c r="AU80" s="54">
        <v>18.999999999999964</v>
      </c>
      <c r="AW80" s="54">
        <v>300</v>
      </c>
      <c r="AX80" s="54">
        <v>269.6545545730886</v>
      </c>
      <c r="AY80" s="54">
        <v>269.79610329791819</v>
      </c>
      <c r="AZ80" s="54">
        <v>273.20740733000036</v>
      </c>
      <c r="BA80" s="54">
        <v>0</v>
      </c>
      <c r="BB80" s="54">
        <v>0</v>
      </c>
      <c r="BD80" s="54">
        <f t="shared" si="34"/>
        <v>-291.11659134163898</v>
      </c>
      <c r="BE80" s="54">
        <f t="shared" si="35"/>
        <v>-291.11659134163898</v>
      </c>
      <c r="BF80" s="54">
        <f t="shared" si="36"/>
        <v>-2.0559081309437781</v>
      </c>
      <c r="BG80" s="54">
        <f t="shared" si="37"/>
        <v>-2.0559081309437781</v>
      </c>
    </row>
    <row r="81" spans="2:59" x14ac:dyDescent="0.25">
      <c r="B81" s="93">
        <v>13362.637362637361</v>
      </c>
      <c r="C81" s="90">
        <v>2039.865542619043</v>
      </c>
      <c r="D81" s="90">
        <v>92.229020865122735</v>
      </c>
      <c r="E81" s="90">
        <v>3651.9242447799784</v>
      </c>
      <c r="F81" s="89">
        <v>194.01169414256037</v>
      </c>
      <c r="H81" s="92">
        <f t="shared" si="24"/>
        <v>13362.637362637361</v>
      </c>
      <c r="I81" s="54">
        <f t="shared" si="25"/>
        <v>14.405830103241829</v>
      </c>
      <c r="J81" s="54">
        <f t="shared" si="26"/>
        <v>25.790425457485725</v>
      </c>
      <c r="K81" s="54">
        <f t="shared" si="27"/>
        <v>92.229020865122735</v>
      </c>
      <c r="L81" s="64">
        <f t="shared" si="28"/>
        <v>194.01169414256037</v>
      </c>
      <c r="N81" s="91">
        <v>20158.540668786802</v>
      </c>
      <c r="O81" s="90">
        <v>36089.370534298112</v>
      </c>
      <c r="P81" s="54">
        <f t="shared" si="29"/>
        <v>20.158540668786802</v>
      </c>
      <c r="Q81" s="54">
        <f t="shared" si="30"/>
        <v>36.089370534298112</v>
      </c>
      <c r="R81" s="90">
        <v>0.95896608992147481</v>
      </c>
      <c r="S81" s="89">
        <v>0.944270395868955</v>
      </c>
      <c r="T81" s="88">
        <v>492.60949765389068</v>
      </c>
      <c r="U81" s="87">
        <f t="shared" si="31"/>
        <v>0.49260949765389067</v>
      </c>
      <c r="AO81" s="91">
        <v>369.96120138732806</v>
      </c>
      <c r="AP81" s="89">
        <v>1637.1060031018433</v>
      </c>
      <c r="AQ81" s="5">
        <f t="shared" si="32"/>
        <v>0.36996120138732808</v>
      </c>
      <c r="AR81" s="41">
        <f t="shared" si="33"/>
        <v>1.6371060031018434</v>
      </c>
      <c r="AT81" s="54">
        <v>34.199999999999946</v>
      </c>
      <c r="AU81" s="54">
        <v>20.799999999999958</v>
      </c>
      <c r="AW81" s="54">
        <v>300</v>
      </c>
      <c r="AX81" s="54">
        <v>269.0881044804313</v>
      </c>
      <c r="AY81" s="54">
        <v>269.72976291205322</v>
      </c>
      <c r="AZ81" s="54">
        <v>276.85017276106703</v>
      </c>
      <c r="BA81" s="54">
        <v>0</v>
      </c>
      <c r="BB81" s="54">
        <v>0</v>
      </c>
      <c r="BD81" s="54">
        <f t="shared" si="34"/>
        <v>-287.17757833546932</v>
      </c>
      <c r="BE81" s="54">
        <f t="shared" si="35"/>
        <v>-287.17757833546932</v>
      </c>
      <c r="BF81" s="54">
        <f t="shared" si="36"/>
        <v>-2.0280902424821279</v>
      </c>
      <c r="BG81" s="54">
        <f t="shared" si="37"/>
        <v>-2.0280902424821279</v>
      </c>
    </row>
    <row r="82" spans="2:59" x14ac:dyDescent="0.25">
      <c r="B82" s="93">
        <v>13538.461538461537</v>
      </c>
      <c r="C82" s="90">
        <v>2006.2911995203515</v>
      </c>
      <c r="D82" s="90">
        <v>91.775532818529541</v>
      </c>
      <c r="E82" s="90">
        <v>3604.2292797116465</v>
      </c>
      <c r="F82" s="89">
        <v>192.04358476514855</v>
      </c>
      <c r="H82" s="92">
        <f t="shared" si="24"/>
        <v>13538.461538461537</v>
      </c>
      <c r="I82" s="54">
        <f t="shared" si="25"/>
        <v>14.16872316045446</v>
      </c>
      <c r="J82" s="54">
        <f t="shared" si="26"/>
        <v>25.453596608133097</v>
      </c>
      <c r="K82" s="54">
        <f t="shared" si="27"/>
        <v>91.775532818529541</v>
      </c>
      <c r="L82" s="64">
        <f t="shared" si="28"/>
        <v>192.04358476514855</v>
      </c>
      <c r="N82" s="91">
        <v>20087.6275900695</v>
      </c>
      <c r="O82" s="90">
        <v>36086.693465724675</v>
      </c>
      <c r="P82" s="54">
        <f t="shared" si="29"/>
        <v>20.087627590069502</v>
      </c>
      <c r="Q82" s="54">
        <f t="shared" si="30"/>
        <v>36.086693465724679</v>
      </c>
      <c r="R82" s="90">
        <v>0.95843784645502417</v>
      </c>
      <c r="S82" s="89">
        <v>0.94478353442904672</v>
      </c>
      <c r="T82" s="88">
        <v>504.7497153915769</v>
      </c>
      <c r="U82" s="87">
        <f t="shared" si="31"/>
        <v>0.50474971539157687</v>
      </c>
      <c r="AO82" s="91">
        <v>366.33196380140015</v>
      </c>
      <c r="AP82" s="89">
        <v>1604.05994128169</v>
      </c>
      <c r="AQ82" s="5">
        <f t="shared" si="32"/>
        <v>0.36633196380140015</v>
      </c>
      <c r="AR82" s="41">
        <f t="shared" si="33"/>
        <v>1.60405994128169</v>
      </c>
      <c r="AT82" s="54">
        <v>34.599999999999952</v>
      </c>
      <c r="AU82" s="54">
        <v>22.399999999999952</v>
      </c>
      <c r="AW82" s="54">
        <v>300</v>
      </c>
      <c r="AX82" s="54">
        <v>269.84535575269484</v>
      </c>
      <c r="AY82" s="54">
        <v>269.97114554802391</v>
      </c>
      <c r="AZ82" s="54">
        <v>280.49293819213369</v>
      </c>
      <c r="BA82" s="54">
        <v>0</v>
      </c>
      <c r="BB82" s="54">
        <v>0</v>
      </c>
      <c r="BD82" s="54">
        <f t="shared" si="34"/>
        <v>-283.30351616901146</v>
      </c>
      <c r="BE82" s="54">
        <f t="shared" si="35"/>
        <v>-283.30351616901146</v>
      </c>
      <c r="BF82" s="54">
        <f t="shared" si="36"/>
        <v>-2.0007310463913242</v>
      </c>
      <c r="BG82" s="54">
        <f t="shared" si="37"/>
        <v>-2.0007310463913242</v>
      </c>
    </row>
    <row r="83" spans="2:59" x14ac:dyDescent="0.25">
      <c r="B83" s="93">
        <v>13714.285714285712</v>
      </c>
      <c r="C83" s="90">
        <v>1968.0136595500865</v>
      </c>
      <c r="D83" s="90">
        <v>91.31426150022871</v>
      </c>
      <c r="E83" s="90">
        <v>3533.8719716503606</v>
      </c>
      <c r="F83" s="89">
        <v>189.1822254364078</v>
      </c>
      <c r="H83" s="92">
        <f t="shared" si="24"/>
        <v>13714.285714285712</v>
      </c>
      <c r="I83" s="54">
        <f t="shared" si="25"/>
        <v>13.898401550494961</v>
      </c>
      <c r="J83" s="54">
        <f t="shared" si="26"/>
        <v>24.95672296363249</v>
      </c>
      <c r="K83" s="54">
        <f t="shared" si="27"/>
        <v>91.31426150022871</v>
      </c>
      <c r="L83" s="64">
        <f t="shared" si="28"/>
        <v>189.1822254364078</v>
      </c>
      <c r="N83" s="91">
        <v>19960.281694937581</v>
      </c>
      <c r="O83" s="90">
        <v>35841.763437816458</v>
      </c>
      <c r="P83" s="54">
        <f t="shared" si="29"/>
        <v>19.960281694937581</v>
      </c>
      <c r="Q83" s="54">
        <f t="shared" si="30"/>
        <v>35.841763437816461</v>
      </c>
      <c r="R83" s="90">
        <v>0.95778772747102503</v>
      </c>
      <c r="S83" s="89">
        <v>0.9453032147760968</v>
      </c>
      <c r="T83" s="88">
        <v>517.03690751422926</v>
      </c>
      <c r="U83" s="87">
        <f t="shared" si="31"/>
        <v>0.51703690751422926</v>
      </c>
      <c r="AO83" s="91">
        <v>362.65878919773411</v>
      </c>
      <c r="AP83" s="89">
        <v>1556.616554829292</v>
      </c>
      <c r="AQ83" s="5">
        <f t="shared" si="32"/>
        <v>0.36265878919773414</v>
      </c>
      <c r="AR83" s="41">
        <f t="shared" si="33"/>
        <v>1.5566165548292921</v>
      </c>
      <c r="AT83" s="54">
        <v>35.19999999999996</v>
      </c>
      <c r="AU83" s="54">
        <v>24.199999999999946</v>
      </c>
      <c r="AW83" s="54">
        <v>300</v>
      </c>
      <c r="AX83" s="54">
        <v>269.30603833883237</v>
      </c>
      <c r="AY83" s="54">
        <v>269.74059180324008</v>
      </c>
      <c r="AZ83" s="54">
        <v>284.13570362320041</v>
      </c>
      <c r="BA83" s="54">
        <v>0</v>
      </c>
      <c r="BB83" s="54">
        <v>0</v>
      </c>
      <c r="BD83" s="54">
        <f t="shared" si="34"/>
        <v>-279.527101917972</v>
      </c>
      <c r="BE83" s="54">
        <f t="shared" si="35"/>
        <v>-279.527101917972</v>
      </c>
      <c r="BF83" s="54">
        <f t="shared" si="36"/>
        <v>-1.9740614542229662</v>
      </c>
      <c r="BG83" s="54">
        <f t="shared" si="37"/>
        <v>-1.9740614542229662</v>
      </c>
    </row>
    <row r="84" spans="2:59" x14ac:dyDescent="0.25">
      <c r="B84" s="93">
        <v>13890.109890109889</v>
      </c>
      <c r="C84" s="90">
        <v>1931.2105345345296</v>
      </c>
      <c r="D84" s="90">
        <v>90.845088350227968</v>
      </c>
      <c r="E84" s="90">
        <v>3464.5996455451914</v>
      </c>
      <c r="F84" s="89">
        <v>186.42502363756103</v>
      </c>
      <c r="H84" s="92">
        <f t="shared" si="24"/>
        <v>13890.109890109889</v>
      </c>
      <c r="I84" s="54">
        <f t="shared" si="25"/>
        <v>13.638492475526339</v>
      </c>
      <c r="J84" s="54">
        <f t="shared" si="26"/>
        <v>24.467511621081862</v>
      </c>
      <c r="K84" s="54">
        <f t="shared" si="27"/>
        <v>90.845088350227968</v>
      </c>
      <c r="L84" s="64">
        <f t="shared" si="28"/>
        <v>186.42502363756103</v>
      </c>
      <c r="N84" s="91">
        <v>19838.127083399879</v>
      </c>
      <c r="O84" s="90">
        <v>35589.681618008377</v>
      </c>
      <c r="P84" s="54">
        <f t="shared" si="29"/>
        <v>19.838127083399879</v>
      </c>
      <c r="Q84" s="54">
        <f t="shared" si="30"/>
        <v>35.589681618008377</v>
      </c>
      <c r="R84" s="90">
        <v>0.95713613745589221</v>
      </c>
      <c r="S84" s="89">
        <v>0.94575628554594593</v>
      </c>
      <c r="T84" s="88">
        <v>529.47107402184724</v>
      </c>
      <c r="U84" s="87">
        <f t="shared" si="31"/>
        <v>0.52947107402184723</v>
      </c>
      <c r="AO84" s="91">
        <v>358.94167757633011</v>
      </c>
      <c r="AP84" s="89">
        <v>1511.5739494219295</v>
      </c>
      <c r="AQ84" s="5">
        <f t="shared" si="32"/>
        <v>0.35894167757633011</v>
      </c>
      <c r="AR84" s="41">
        <f t="shared" si="33"/>
        <v>1.5115739494219296</v>
      </c>
      <c r="AT84" s="54">
        <v>35.799999999999969</v>
      </c>
      <c r="AU84" s="54">
        <v>25.79999999999994</v>
      </c>
      <c r="AW84" s="54">
        <v>300</v>
      </c>
      <c r="AX84" s="54">
        <v>268.81165593305343</v>
      </c>
      <c r="AY84" s="54">
        <v>269.8367339505707</v>
      </c>
      <c r="AZ84" s="54">
        <v>287.77846905426708</v>
      </c>
      <c r="BA84" s="54">
        <v>0</v>
      </c>
      <c r="BB84" s="54">
        <v>0</v>
      </c>
      <c r="BD84" s="54">
        <f t="shared" si="34"/>
        <v>-275.82662510074505</v>
      </c>
      <c r="BE84" s="54">
        <f t="shared" si="35"/>
        <v>-275.82662510074505</v>
      </c>
      <c r="BF84" s="54">
        <f t="shared" si="36"/>
        <v>-1.9479281433668436</v>
      </c>
      <c r="BG84" s="54">
        <f t="shared" si="37"/>
        <v>-1.9479281433668436</v>
      </c>
    </row>
    <row r="85" spans="2:59" x14ac:dyDescent="0.25">
      <c r="B85" s="93">
        <v>14065.934065934061</v>
      </c>
      <c r="C85" s="90">
        <v>1892.958380206479</v>
      </c>
      <c r="D85" s="90">
        <v>90.367890294123313</v>
      </c>
      <c r="E85" s="90">
        <v>3418.8319617715656</v>
      </c>
      <c r="F85" s="89">
        <v>184.6422314671083</v>
      </c>
      <c r="H85" s="92">
        <f t="shared" si="24"/>
        <v>14065.934065934061</v>
      </c>
      <c r="I85" s="54">
        <f t="shared" si="25"/>
        <v>13.368350142701123</v>
      </c>
      <c r="J85" s="54">
        <f t="shared" si="26"/>
        <v>24.144293515335917</v>
      </c>
      <c r="K85" s="54">
        <f t="shared" si="27"/>
        <v>90.367890294123313</v>
      </c>
      <c r="L85" s="64">
        <f t="shared" si="28"/>
        <v>184.6422314671083</v>
      </c>
      <c r="N85" s="91">
        <v>19691.328046382841</v>
      </c>
      <c r="O85" s="90">
        <v>35564.089733108267</v>
      </c>
      <c r="P85" s="54">
        <f t="shared" si="29"/>
        <v>19.691328046382843</v>
      </c>
      <c r="Q85" s="54">
        <f t="shared" si="30"/>
        <v>35.564089733108268</v>
      </c>
      <c r="R85" s="90">
        <v>0.95642049314018396</v>
      </c>
      <c r="S85" s="89">
        <v>0.94612692762207129</v>
      </c>
      <c r="T85" s="88">
        <v>542.05221491443126</v>
      </c>
      <c r="U85" s="87">
        <f t="shared" si="31"/>
        <v>0.54205221491443123</v>
      </c>
      <c r="AO85" s="91">
        <v>355.18062893718781</v>
      </c>
      <c r="AP85" s="89">
        <v>1482.8016656639545</v>
      </c>
      <c r="AQ85" s="5">
        <f t="shared" si="32"/>
        <v>0.35518062893718783</v>
      </c>
      <c r="AR85" s="41">
        <f t="shared" si="33"/>
        <v>1.4828016656639544</v>
      </c>
      <c r="AT85" s="54">
        <v>36.199999999999974</v>
      </c>
      <c r="AU85" s="54">
        <v>27.399999999999935</v>
      </c>
      <c r="AW85" s="54">
        <v>300</v>
      </c>
      <c r="AX85" s="54">
        <v>269.59273651043156</v>
      </c>
      <c r="AY85" s="54">
        <v>269.86867558661748</v>
      </c>
      <c r="AZ85" s="54">
        <v>291.42123448533368</v>
      </c>
      <c r="BA85" s="54">
        <v>0</v>
      </c>
      <c r="BB85" s="54">
        <v>0</v>
      </c>
      <c r="BD85" s="54">
        <f t="shared" si="34"/>
        <v>-272.19814362888701</v>
      </c>
      <c r="BE85" s="54">
        <f t="shared" si="35"/>
        <v>-272.19814362888701</v>
      </c>
      <c r="BF85" s="54">
        <f t="shared" si="36"/>
        <v>-1.9223032742153039</v>
      </c>
      <c r="BG85" s="54">
        <f t="shared" si="37"/>
        <v>-1.9223032742153039</v>
      </c>
    </row>
    <row r="86" spans="2:59" x14ac:dyDescent="0.25">
      <c r="B86" s="93">
        <v>14241.758241758238</v>
      </c>
      <c r="C86" s="90">
        <v>1853.3070096335034</v>
      </c>
      <c r="D86" s="90">
        <v>89.882539516204645</v>
      </c>
      <c r="E86" s="90">
        <v>3351.3633693983988</v>
      </c>
      <c r="F86" s="89">
        <v>182.04749972571705</v>
      </c>
      <c r="H86" s="92">
        <f t="shared" si="24"/>
        <v>14241.758241758238</v>
      </c>
      <c r="I86" s="54">
        <f t="shared" si="25"/>
        <v>13.088326339219657</v>
      </c>
      <c r="J86" s="54">
        <f t="shared" si="26"/>
        <v>23.667820405355926</v>
      </c>
      <c r="K86" s="54">
        <f t="shared" si="27"/>
        <v>89.882539516204645</v>
      </c>
      <c r="L86" s="64">
        <f t="shared" si="28"/>
        <v>182.04749972571705</v>
      </c>
      <c r="N86" s="91">
        <v>19519.843984652536</v>
      </c>
      <c r="O86" s="90">
        <v>35298.03198633172</v>
      </c>
      <c r="P86" s="54">
        <f t="shared" si="29"/>
        <v>19.519843984652535</v>
      </c>
      <c r="Q86" s="54">
        <f t="shared" si="30"/>
        <v>35.298031986331722</v>
      </c>
      <c r="R86" s="90">
        <v>0.95563682874129741</v>
      </c>
      <c r="S86" s="89">
        <v>0.9464698440614927</v>
      </c>
      <c r="T86" s="88">
        <v>554.78033019198108</v>
      </c>
      <c r="U86" s="87">
        <f t="shared" si="31"/>
        <v>0.55478033019198114</v>
      </c>
      <c r="AO86" s="91">
        <v>351.37564328030692</v>
      </c>
      <c r="AP86" s="89">
        <v>1441.4195969323034</v>
      </c>
      <c r="AQ86" s="5">
        <f t="shared" si="32"/>
        <v>0.3513756432803069</v>
      </c>
      <c r="AR86" s="41">
        <f t="shared" si="33"/>
        <v>1.4414195969323034</v>
      </c>
      <c r="AT86" s="54">
        <v>36.799999999999983</v>
      </c>
      <c r="AU86" s="54">
        <v>28.999999999999929</v>
      </c>
      <c r="AW86" s="54">
        <v>300</v>
      </c>
      <c r="AX86" s="54">
        <v>269.15411263077755</v>
      </c>
      <c r="AY86" s="54">
        <v>269.84269991787784</v>
      </c>
      <c r="AZ86" s="54">
        <v>295.06399991640041</v>
      </c>
      <c r="BA86" s="54">
        <v>0</v>
      </c>
      <c r="BB86" s="54">
        <v>0</v>
      </c>
      <c r="BD86" s="54">
        <f t="shared" si="34"/>
        <v>-268.63776053455973</v>
      </c>
      <c r="BE86" s="54">
        <f t="shared" si="35"/>
        <v>-268.63776053455973</v>
      </c>
      <c r="BF86" s="54">
        <f t="shared" si="36"/>
        <v>-1.8971593258090378</v>
      </c>
      <c r="BG86" s="54">
        <f t="shared" si="37"/>
        <v>-1.8971593258090378</v>
      </c>
    </row>
    <row r="87" spans="2:59" x14ac:dyDescent="0.25">
      <c r="B87" s="93">
        <v>14417.582417582416</v>
      </c>
      <c r="C87" s="90">
        <v>1812.307853690106</v>
      </c>
      <c r="D87" s="90">
        <v>89.38890321720524</v>
      </c>
      <c r="E87" s="90">
        <v>3306.7933683243559</v>
      </c>
      <c r="F87" s="89">
        <v>180.36868679718023</v>
      </c>
      <c r="H87" s="92">
        <f t="shared" si="24"/>
        <v>14417.582417582416</v>
      </c>
      <c r="I87" s="54">
        <f t="shared" si="25"/>
        <v>12.7987842774725</v>
      </c>
      <c r="J87" s="54">
        <f t="shared" si="26"/>
        <v>23.353060510765225</v>
      </c>
      <c r="K87" s="54">
        <f t="shared" si="27"/>
        <v>89.38890321720524</v>
      </c>
      <c r="L87" s="64">
        <f t="shared" si="28"/>
        <v>180.36868679718023</v>
      </c>
      <c r="N87" s="91">
        <v>19323.677457588445</v>
      </c>
      <c r="O87" s="90">
        <v>35258.583875959266</v>
      </c>
      <c r="P87" s="54">
        <f t="shared" si="29"/>
        <v>19.323677457588445</v>
      </c>
      <c r="Q87" s="54">
        <f t="shared" si="30"/>
        <v>35.258583875959268</v>
      </c>
      <c r="R87" s="90">
        <v>0.95478065538869406</v>
      </c>
      <c r="S87" s="89">
        <v>0.9467586484431787</v>
      </c>
      <c r="T87" s="88">
        <v>567.65541985449704</v>
      </c>
      <c r="U87" s="87">
        <f t="shared" si="31"/>
        <v>0.56765541985449708</v>
      </c>
      <c r="AO87" s="91">
        <v>347.52672060568796</v>
      </c>
      <c r="AP87" s="89">
        <v>1414.9570966116717</v>
      </c>
      <c r="AQ87" s="5">
        <f t="shared" si="32"/>
        <v>0.34752672060568796</v>
      </c>
      <c r="AR87" s="41">
        <f t="shared" si="33"/>
        <v>1.4149570966116718</v>
      </c>
      <c r="AT87" s="54">
        <v>37.199999999999989</v>
      </c>
      <c r="AU87" s="54">
        <v>30.599999999999923</v>
      </c>
      <c r="AW87" s="54">
        <v>300</v>
      </c>
      <c r="AX87" s="54">
        <v>269.94639600766607</v>
      </c>
      <c r="AY87" s="54">
        <v>269.77102097931936</v>
      </c>
      <c r="AZ87" s="54">
        <v>298.70676534746707</v>
      </c>
      <c r="BA87" s="54">
        <v>0</v>
      </c>
      <c r="BB87" s="54">
        <v>0</v>
      </c>
      <c r="BD87" s="54">
        <f t="shared" si="34"/>
        <v>-265.14160280102431</v>
      </c>
      <c r="BE87" s="54">
        <f t="shared" si="35"/>
        <v>-265.14160280102431</v>
      </c>
      <c r="BF87" s="54">
        <f t="shared" si="36"/>
        <v>-1.8724689463349176</v>
      </c>
      <c r="BG87" s="54">
        <f t="shared" si="37"/>
        <v>-1.8724689463349176</v>
      </c>
    </row>
    <row r="88" spans="2:59" x14ac:dyDescent="0.25">
      <c r="B88" s="93">
        <v>14593.406593406593</v>
      </c>
      <c r="C88" s="90">
        <v>1770.0139184024561</v>
      </c>
      <c r="D88" s="90">
        <v>88.886843355409411</v>
      </c>
      <c r="E88" s="90">
        <v>3241.1108095287977</v>
      </c>
      <c r="F88" s="89">
        <v>177.92379405084756</v>
      </c>
      <c r="H88" s="92">
        <f t="shared" si="24"/>
        <v>14593.406593406593</v>
      </c>
      <c r="I88" s="54">
        <f t="shared" si="25"/>
        <v>12.500098293802656</v>
      </c>
      <c r="J88" s="54">
        <f t="shared" si="26"/>
        <v>22.889200632265521</v>
      </c>
      <c r="K88" s="54">
        <f t="shared" si="27"/>
        <v>88.886843355409411</v>
      </c>
      <c r="L88" s="64">
        <f t="shared" si="28"/>
        <v>177.92379405084756</v>
      </c>
      <c r="N88" s="91">
        <v>19102.874774644632</v>
      </c>
      <c r="O88" s="90">
        <v>34979.687606669955</v>
      </c>
      <c r="P88" s="54">
        <f t="shared" si="29"/>
        <v>19.102874774644633</v>
      </c>
      <c r="Q88" s="54">
        <f t="shared" si="30"/>
        <v>34.979687606669955</v>
      </c>
      <c r="R88" s="90">
        <v>0.95384689474499862</v>
      </c>
      <c r="S88" s="89">
        <v>0.94699972253393094</v>
      </c>
      <c r="T88" s="88">
        <v>580.67748390197869</v>
      </c>
      <c r="U88" s="87">
        <f t="shared" si="31"/>
        <v>0.58067748390197871</v>
      </c>
      <c r="AO88" s="91">
        <v>343.63386091333069</v>
      </c>
      <c r="AP88" s="89">
        <v>1376.8576654837905</v>
      </c>
      <c r="AQ88" s="5">
        <f t="shared" si="32"/>
        <v>0.3436338609133307</v>
      </c>
      <c r="AR88" s="41">
        <f t="shared" si="33"/>
        <v>1.3768576654837905</v>
      </c>
      <c r="AT88" s="54">
        <v>37.799999999999997</v>
      </c>
      <c r="AU88" s="54">
        <v>32.199999999999918</v>
      </c>
      <c r="AW88" s="54">
        <v>300</v>
      </c>
      <c r="AX88" s="54">
        <v>269.56047543998892</v>
      </c>
      <c r="AY88" s="54">
        <v>269.66062481855198</v>
      </c>
      <c r="AZ88" s="54">
        <v>302.34953077853373</v>
      </c>
      <c r="BA88" s="54">
        <v>0</v>
      </c>
      <c r="BB88" s="54">
        <v>0</v>
      </c>
      <c r="BD88" s="54">
        <f t="shared" si="34"/>
        <v>-261.73540826278457</v>
      </c>
      <c r="BE88" s="54">
        <f t="shared" si="35"/>
        <v>-261.73540826278457</v>
      </c>
      <c r="BF88" s="54">
        <f t="shared" si="36"/>
        <v>-1.8484139001609081</v>
      </c>
      <c r="BG88" s="54">
        <f t="shared" si="37"/>
        <v>-1.8484139001609081</v>
      </c>
    </row>
    <row r="89" spans="2:59" x14ac:dyDescent="0.25">
      <c r="B89" s="93">
        <v>14769.230769230766</v>
      </c>
      <c r="C89" s="90">
        <v>1730.6303564898765</v>
      </c>
      <c r="D89" s="90">
        <v>88.376216369703826</v>
      </c>
      <c r="E89" s="90">
        <v>3176.4868058023308</v>
      </c>
      <c r="F89" s="89">
        <v>175.56329081237763</v>
      </c>
      <c r="H89" s="92">
        <f t="shared" si="24"/>
        <v>14769.230769230766</v>
      </c>
      <c r="I89" s="54">
        <f t="shared" si="25"/>
        <v>12.221965794420033</v>
      </c>
      <c r="J89" s="54">
        <f t="shared" si="26"/>
        <v>22.432816425157704</v>
      </c>
      <c r="K89" s="54">
        <f t="shared" si="27"/>
        <v>88.376216369703826</v>
      </c>
      <c r="L89" s="64">
        <f t="shared" si="28"/>
        <v>175.56329081237763</v>
      </c>
      <c r="N89" s="91">
        <v>18902.861761071119</v>
      </c>
      <c r="O89" s="90">
        <v>34695.272015066526</v>
      </c>
      <c r="P89" s="54">
        <f t="shared" si="29"/>
        <v>18.902861761071119</v>
      </c>
      <c r="Q89" s="54">
        <f t="shared" si="30"/>
        <v>34.695272015066529</v>
      </c>
      <c r="R89" s="90">
        <v>0.95293760546352513</v>
      </c>
      <c r="S89" s="89">
        <v>0.94718627053389548</v>
      </c>
      <c r="T89" s="88">
        <v>593.84652233442637</v>
      </c>
      <c r="U89" s="87">
        <f t="shared" si="31"/>
        <v>0.59384652233442636</v>
      </c>
      <c r="AO89" s="91">
        <v>339.69706420323536</v>
      </c>
      <c r="AP89" s="89">
        <v>1340.5666486799519</v>
      </c>
      <c r="AQ89" s="5">
        <f t="shared" si="32"/>
        <v>0.33969706420323537</v>
      </c>
      <c r="AR89" s="41">
        <f t="shared" si="33"/>
        <v>1.3405666486799519</v>
      </c>
      <c r="AT89" s="54">
        <v>38.400000000000006</v>
      </c>
      <c r="AU89" s="54">
        <v>33.599999999999937</v>
      </c>
      <c r="AW89" s="54">
        <v>300</v>
      </c>
      <c r="AX89" s="54">
        <v>269.21295081421368</v>
      </c>
      <c r="AY89" s="54">
        <v>269.93834614783174</v>
      </c>
      <c r="AZ89" s="54">
        <v>305.99229620960045</v>
      </c>
      <c r="BA89" s="54">
        <v>0</v>
      </c>
      <c r="BB89" s="54">
        <v>0</v>
      </c>
      <c r="BD89" s="54">
        <f t="shared" si="34"/>
        <v>-258.35824303126225</v>
      </c>
      <c r="BE89" s="54">
        <f t="shared" si="35"/>
        <v>-258.35824303126225</v>
      </c>
      <c r="BF89" s="54">
        <f t="shared" si="36"/>
        <v>-1.8245638632151289</v>
      </c>
      <c r="BG89" s="54">
        <f t="shared" si="37"/>
        <v>-1.8245638632151289</v>
      </c>
    </row>
    <row r="90" spans="2:59" x14ac:dyDescent="0.25">
      <c r="B90" s="93">
        <v>14945.054945054941</v>
      </c>
      <c r="C90" s="90">
        <v>1686.0589454656738</v>
      </c>
      <c r="D90" s="90">
        <v>87.856872883011988</v>
      </c>
      <c r="E90" s="90">
        <v>3112.9092800197623</v>
      </c>
      <c r="F90" s="89">
        <v>173.28335445248229</v>
      </c>
      <c r="H90" s="92">
        <f t="shared" si="24"/>
        <v>14945.054945054941</v>
      </c>
      <c r="I90" s="54">
        <f t="shared" si="25"/>
        <v>11.907195942554194</v>
      </c>
      <c r="J90" s="54">
        <f t="shared" si="26"/>
        <v>21.983822599009621</v>
      </c>
      <c r="K90" s="54">
        <f t="shared" si="27"/>
        <v>87.856872883011988</v>
      </c>
      <c r="L90" s="64">
        <f t="shared" si="28"/>
        <v>173.28335445248229</v>
      </c>
      <c r="N90" s="91">
        <v>18635.267635624954</v>
      </c>
      <c r="O90" s="90">
        <v>34405.616550118335</v>
      </c>
      <c r="P90" s="54">
        <f t="shared" si="29"/>
        <v>18.635267635624956</v>
      </c>
      <c r="Q90" s="54">
        <f t="shared" si="30"/>
        <v>34.405616550118339</v>
      </c>
      <c r="R90" s="90">
        <v>0.95183999364940919</v>
      </c>
      <c r="S90" s="89">
        <v>0.94732022684867123</v>
      </c>
      <c r="T90" s="88">
        <v>607.16253515183973</v>
      </c>
      <c r="U90" s="87">
        <f t="shared" si="31"/>
        <v>0.60716253515183971</v>
      </c>
      <c r="AO90" s="91">
        <v>335.71633047540149</v>
      </c>
      <c r="AP90" s="89">
        <v>1305.9744425221095</v>
      </c>
      <c r="AQ90" s="5">
        <f t="shared" si="32"/>
        <v>0.3357163304754015</v>
      </c>
      <c r="AR90" s="41">
        <f t="shared" si="33"/>
        <v>1.3059744425221096</v>
      </c>
      <c r="AT90" s="54">
        <v>39.000000000000014</v>
      </c>
      <c r="AU90" s="54">
        <v>35.19999999999996</v>
      </c>
      <c r="AW90" s="54">
        <v>300</v>
      </c>
      <c r="AX90" s="54">
        <v>268.90227545108587</v>
      </c>
      <c r="AY90" s="54">
        <v>269.77264279279831</v>
      </c>
      <c r="AZ90" s="54">
        <v>309.63506164066706</v>
      </c>
      <c r="BA90" s="54">
        <v>0</v>
      </c>
      <c r="BB90" s="54">
        <v>0</v>
      </c>
      <c r="BD90" s="54">
        <f t="shared" si="34"/>
        <v>-255.03376068491659</v>
      </c>
      <c r="BE90" s="54">
        <f t="shared" si="35"/>
        <v>-255.03376068491659</v>
      </c>
      <c r="BF90" s="54">
        <f t="shared" si="36"/>
        <v>-1.8010858805431964</v>
      </c>
      <c r="BG90" s="54">
        <f t="shared" si="37"/>
        <v>-1.8010858805431964</v>
      </c>
    </row>
    <row r="91" spans="2:59" x14ac:dyDescent="0.25">
      <c r="B91" s="93">
        <v>15120.879120879117</v>
      </c>
      <c r="C91" s="90">
        <v>1640.3549822044588</v>
      </c>
      <c r="D91" s="90">
        <v>87.328657384389913</v>
      </c>
      <c r="E91" s="90">
        <v>3070.9106044715495</v>
      </c>
      <c r="F91" s="89">
        <v>171.80637470269656</v>
      </c>
      <c r="H91" s="92">
        <f t="shared" si="24"/>
        <v>15120.879120879117</v>
      </c>
      <c r="I91" s="54">
        <f t="shared" si="25"/>
        <v>11.584427840426969</v>
      </c>
      <c r="J91" s="54">
        <f t="shared" si="26"/>
        <v>21.68722178299117</v>
      </c>
      <c r="K91" s="54">
        <f t="shared" si="27"/>
        <v>87.328657384389913</v>
      </c>
      <c r="L91" s="64">
        <f t="shared" si="28"/>
        <v>171.80637470269656</v>
      </c>
      <c r="N91" s="91">
        <v>18343.417391116618</v>
      </c>
      <c r="O91" s="90">
        <v>34340.734535963144</v>
      </c>
      <c r="P91" s="54">
        <f t="shared" si="29"/>
        <v>18.343417391116617</v>
      </c>
      <c r="Q91" s="54">
        <f t="shared" si="30"/>
        <v>34.340734535963144</v>
      </c>
      <c r="R91" s="90">
        <v>0.95064600341100425</v>
      </c>
      <c r="S91" s="89">
        <v>0.94745361715717313</v>
      </c>
      <c r="T91" s="88">
        <v>620.62552235421924</v>
      </c>
      <c r="U91" s="87">
        <f t="shared" si="31"/>
        <v>0.62062552235421931</v>
      </c>
      <c r="AO91" s="91">
        <v>331.69165972982961</v>
      </c>
      <c r="AP91" s="89">
        <v>1283.8063890893882</v>
      </c>
      <c r="AQ91" s="5">
        <f t="shared" si="32"/>
        <v>0.33169165972982961</v>
      </c>
      <c r="AR91" s="41">
        <f t="shared" si="33"/>
        <v>1.2838063890893883</v>
      </c>
      <c r="AT91" s="54">
        <v>39.40000000000002</v>
      </c>
      <c r="AU91" s="54">
        <v>36.799999999999983</v>
      </c>
      <c r="AW91" s="54">
        <v>300</v>
      </c>
      <c r="AX91" s="54">
        <v>269.72764576068101</v>
      </c>
      <c r="AY91" s="54">
        <v>269.58939260709076</v>
      </c>
      <c r="AZ91" s="54">
        <v>313.27782707173373</v>
      </c>
      <c r="BA91" s="54">
        <v>0</v>
      </c>
      <c r="BB91" s="54">
        <v>0</v>
      </c>
      <c r="BD91" s="54">
        <f t="shared" si="34"/>
        <v>-251.79429644551047</v>
      </c>
      <c r="BE91" s="54">
        <f t="shared" si="35"/>
        <v>-251.79429644551047</v>
      </c>
      <c r="BF91" s="54">
        <f t="shared" si="36"/>
        <v>-1.7782083082310063</v>
      </c>
      <c r="BG91" s="54">
        <f t="shared" si="37"/>
        <v>-1.7782083082310063</v>
      </c>
    </row>
    <row r="92" spans="2:59" x14ac:dyDescent="0.25">
      <c r="B92" s="93">
        <v>15296.703296703294</v>
      </c>
      <c r="C92" s="90">
        <v>1598.1311354781233</v>
      </c>
      <c r="D92" s="90">
        <v>86.791407887877938</v>
      </c>
      <c r="E92" s="90">
        <v>3009.0464257389854</v>
      </c>
      <c r="F92" s="89">
        <v>169.65284760178102</v>
      </c>
      <c r="H92" s="92">
        <f t="shared" si="24"/>
        <v>15296.703296703294</v>
      </c>
      <c r="I92" s="54">
        <f t="shared" si="25"/>
        <v>11.286236832472623</v>
      </c>
      <c r="J92" s="54">
        <f t="shared" si="26"/>
        <v>21.250327865388314</v>
      </c>
      <c r="K92" s="54">
        <f t="shared" si="27"/>
        <v>86.791407887877938</v>
      </c>
      <c r="L92" s="64">
        <f t="shared" si="28"/>
        <v>169.65284760178102</v>
      </c>
      <c r="N92" s="91">
        <v>18079.050599868926</v>
      </c>
      <c r="O92" s="90">
        <v>34040.199443341953</v>
      </c>
      <c r="P92" s="54">
        <f t="shared" si="29"/>
        <v>18.079050599868925</v>
      </c>
      <c r="Q92" s="54">
        <f t="shared" si="30"/>
        <v>34.040199443341955</v>
      </c>
      <c r="R92" s="90">
        <v>0.94948441713799636</v>
      </c>
      <c r="S92" s="89">
        <v>0.94749884159038278</v>
      </c>
      <c r="T92" s="88">
        <v>634.23548394156489</v>
      </c>
      <c r="U92" s="87">
        <f t="shared" si="31"/>
        <v>0.63423548394156493</v>
      </c>
      <c r="AO92" s="91">
        <v>327.62305196651931</v>
      </c>
      <c r="AP92" s="89">
        <v>1251.8240536965975</v>
      </c>
      <c r="AQ92" s="5">
        <f t="shared" si="32"/>
        <v>0.32762305196651931</v>
      </c>
      <c r="AR92" s="41">
        <f t="shared" si="33"/>
        <v>1.2518240536965974</v>
      </c>
      <c r="AT92" s="54">
        <v>40.000000000000028</v>
      </c>
      <c r="AU92" s="54">
        <v>38.200000000000003</v>
      </c>
      <c r="AW92" s="54">
        <v>300</v>
      </c>
      <c r="AX92" s="54">
        <v>269.46276390301392</v>
      </c>
      <c r="AY92" s="54">
        <v>269.81797958903962</v>
      </c>
      <c r="AZ92" s="54">
        <v>316.92059250280045</v>
      </c>
      <c r="BA92" s="54">
        <v>0</v>
      </c>
      <c r="BB92" s="54">
        <v>0</v>
      </c>
      <c r="BD92" s="54">
        <f t="shared" si="34"/>
        <v>-248.56579163610385</v>
      </c>
      <c r="BE92" s="54">
        <f t="shared" si="35"/>
        <v>-248.56579163610385</v>
      </c>
      <c r="BF92" s="54">
        <f t="shared" si="36"/>
        <v>-1.7554081330233324</v>
      </c>
      <c r="BG92" s="54">
        <f t="shared" si="37"/>
        <v>-1.7554081330233324</v>
      </c>
    </row>
    <row r="93" spans="2:59" x14ac:dyDescent="0.25">
      <c r="B93" s="93">
        <v>15472.52747252747</v>
      </c>
      <c r="C93" s="90">
        <v>1550.4693812628843</v>
      </c>
      <c r="D93" s="90">
        <v>86.244955565999618</v>
      </c>
      <c r="E93" s="90">
        <v>2948.1899039000891</v>
      </c>
      <c r="F93" s="89">
        <v>167.57078798331466</v>
      </c>
      <c r="H93" s="92">
        <f t="shared" si="24"/>
        <v>15472.52747252747</v>
      </c>
      <c r="I93" s="54">
        <f t="shared" si="25"/>
        <v>10.94964252304297</v>
      </c>
      <c r="J93" s="54">
        <f t="shared" si="26"/>
        <v>20.820550168785942</v>
      </c>
      <c r="K93" s="54">
        <f t="shared" si="27"/>
        <v>86.244955565999618</v>
      </c>
      <c r="L93" s="64">
        <f t="shared" si="28"/>
        <v>167.57078798331466</v>
      </c>
      <c r="N93" s="91">
        <v>17741.478991148455</v>
      </c>
      <c r="O93" s="90">
        <v>33735.106203358802</v>
      </c>
      <c r="P93" s="54">
        <f t="shared" si="29"/>
        <v>17.741478991148455</v>
      </c>
      <c r="Q93" s="54">
        <f t="shared" si="30"/>
        <v>33.735106203358804</v>
      </c>
      <c r="R93" s="90">
        <v>0.94808381389637997</v>
      </c>
      <c r="S93" s="89">
        <v>0.94749578489508757</v>
      </c>
      <c r="T93" s="88">
        <v>647.99241991387601</v>
      </c>
      <c r="U93" s="87">
        <f t="shared" si="31"/>
        <v>0.64799241991387602</v>
      </c>
      <c r="AO93" s="91">
        <v>323.51050718547083</v>
      </c>
      <c r="AP93" s="89">
        <v>1221.2866470547519</v>
      </c>
      <c r="AQ93" s="5">
        <f t="shared" si="32"/>
        <v>0.32351050718547081</v>
      </c>
      <c r="AR93" s="41">
        <f t="shared" si="33"/>
        <v>1.2212866470547519</v>
      </c>
      <c r="AT93" s="54">
        <v>40.600000000000037</v>
      </c>
      <c r="AU93" s="54">
        <v>39.800000000000026</v>
      </c>
      <c r="AW93" s="54">
        <v>300</v>
      </c>
      <c r="AX93" s="54">
        <v>269.23136863047972</v>
      </c>
      <c r="AY93" s="54">
        <v>269.62304662574701</v>
      </c>
      <c r="AZ93" s="54">
        <v>320.56335793386711</v>
      </c>
      <c r="BA93" s="54">
        <v>0</v>
      </c>
      <c r="BB93" s="54">
        <v>0</v>
      </c>
      <c r="BD93" s="54">
        <f t="shared" si="34"/>
        <v>-245.4194942545144</v>
      </c>
      <c r="BE93" s="54">
        <f t="shared" si="35"/>
        <v>-245.4194942545144</v>
      </c>
      <c r="BF93" s="54">
        <f t="shared" si="36"/>
        <v>-1.7331885187465708</v>
      </c>
      <c r="BG93" s="54">
        <f t="shared" si="37"/>
        <v>-1.7331885187465708</v>
      </c>
    </row>
    <row r="94" spans="2:59" x14ac:dyDescent="0.25">
      <c r="B94" s="93">
        <v>15648.351648351649</v>
      </c>
      <c r="C94" s="90">
        <v>1506.6374470870517</v>
      </c>
      <c r="D94" s="90">
        <v>85.689124355567486</v>
      </c>
      <c r="E94" s="90">
        <v>2888.3246713471849</v>
      </c>
      <c r="F94" s="89">
        <v>165.55714792645222</v>
      </c>
      <c r="H94" s="92">
        <f t="shared" si="24"/>
        <v>15648.351648351649</v>
      </c>
      <c r="I94" s="54">
        <f t="shared" si="25"/>
        <v>10.640094965304037</v>
      </c>
      <c r="J94" s="54">
        <f t="shared" si="26"/>
        <v>20.397773102734359</v>
      </c>
      <c r="K94" s="54">
        <f t="shared" si="27"/>
        <v>85.689124355567486</v>
      </c>
      <c r="L94" s="64">
        <f t="shared" si="28"/>
        <v>165.55714792645222</v>
      </c>
      <c r="N94" s="91">
        <v>17435.833738949303</v>
      </c>
      <c r="O94" s="90">
        <v>33425.658476153054</v>
      </c>
      <c r="P94" s="54">
        <f t="shared" si="29"/>
        <v>17.435833738949302</v>
      </c>
      <c r="Q94" s="54">
        <f t="shared" si="30"/>
        <v>33.425658476153053</v>
      </c>
      <c r="R94" s="90">
        <v>0.94672046217959682</v>
      </c>
      <c r="S94" s="89">
        <v>0.94744565016063631</v>
      </c>
      <c r="T94" s="88">
        <v>661.89633027115326</v>
      </c>
      <c r="U94" s="87">
        <f t="shared" si="31"/>
        <v>0.66189633027115324</v>
      </c>
      <c r="AO94" s="91">
        <v>319.3540253866841</v>
      </c>
      <c r="AP94" s="89">
        <v>1192.1114444381421</v>
      </c>
      <c r="AQ94" s="5">
        <f t="shared" si="32"/>
        <v>0.31935402538668411</v>
      </c>
      <c r="AR94" s="41">
        <f t="shared" si="33"/>
        <v>1.1921114444381422</v>
      </c>
      <c r="AT94" s="54">
        <v>41.200000000000045</v>
      </c>
      <c r="AU94" s="54">
        <v>41.200000000000045</v>
      </c>
      <c r="AW94" s="54">
        <v>300</v>
      </c>
      <c r="AX94" s="54">
        <v>269.03213838133956</v>
      </c>
      <c r="AY94" s="54">
        <v>269.85404909379258</v>
      </c>
      <c r="AZ94" s="54">
        <v>324.20612336493377</v>
      </c>
      <c r="BA94" s="54">
        <v>0</v>
      </c>
      <c r="BB94" s="54">
        <v>0</v>
      </c>
      <c r="BD94" s="54">
        <f t="shared" si="34"/>
        <v>-242.27085187611797</v>
      </c>
      <c r="BE94" s="54">
        <f t="shared" si="35"/>
        <v>-242.27085187611797</v>
      </c>
      <c r="BF94" s="54">
        <f t="shared" si="36"/>
        <v>-1.7109523437578953</v>
      </c>
      <c r="BG94" s="54">
        <f t="shared" si="37"/>
        <v>-1.7109523437578953</v>
      </c>
    </row>
    <row r="95" spans="2:59" x14ac:dyDescent="0.25">
      <c r="B95" s="93">
        <v>15824.17582417582</v>
      </c>
      <c r="C95" s="90">
        <v>1457.2391238623375</v>
      </c>
      <c r="D95" s="90">
        <v>85.123730533194902</v>
      </c>
      <c r="E95" s="90">
        <v>2848.7684469568999</v>
      </c>
      <c r="F95" s="89">
        <v>164.25130731143921</v>
      </c>
      <c r="H95" s="92">
        <f t="shared" si="24"/>
        <v>15824.17582417582</v>
      </c>
      <c r="I95" s="54">
        <f t="shared" si="25"/>
        <v>10.291236750440238</v>
      </c>
      <c r="J95" s="54">
        <f t="shared" si="26"/>
        <v>20.118421235571329</v>
      </c>
      <c r="K95" s="54">
        <f t="shared" si="27"/>
        <v>85.123730533194902</v>
      </c>
      <c r="L95" s="64">
        <f t="shared" si="28"/>
        <v>164.25130731143921</v>
      </c>
      <c r="N95" s="91">
        <v>17053.647703667517</v>
      </c>
      <c r="O95" s="90">
        <v>33338.312627074687</v>
      </c>
      <c r="P95" s="54">
        <f t="shared" si="29"/>
        <v>17.053647703667519</v>
      </c>
      <c r="Q95" s="54">
        <f t="shared" si="30"/>
        <v>33.338312627074686</v>
      </c>
      <c r="R95" s="90">
        <v>0.94507522057770932</v>
      </c>
      <c r="S95" s="89">
        <v>0.94744138114567833</v>
      </c>
      <c r="T95" s="88">
        <v>675.94721501339632</v>
      </c>
      <c r="U95" s="87">
        <f t="shared" si="31"/>
        <v>0.67594721501339639</v>
      </c>
      <c r="AO95" s="91">
        <v>315.15360657015924</v>
      </c>
      <c r="AP95" s="89">
        <v>1173.3799277946277</v>
      </c>
      <c r="AQ95" s="5">
        <f t="shared" si="32"/>
        <v>0.31515360657015923</v>
      </c>
      <c r="AR95" s="41">
        <f t="shared" si="33"/>
        <v>1.1733799277946277</v>
      </c>
      <c r="AT95" s="54">
        <v>41.600000000000051</v>
      </c>
      <c r="AU95" s="54">
        <v>42.800000000000068</v>
      </c>
      <c r="AW95" s="54">
        <v>300</v>
      </c>
      <c r="AX95" s="54">
        <v>269.88585353753695</v>
      </c>
      <c r="AY95" s="54">
        <v>269.67932635129932</v>
      </c>
      <c r="AZ95" s="54">
        <v>327.84888879600044</v>
      </c>
      <c r="BA95" s="54">
        <v>0</v>
      </c>
      <c r="BB95" s="54">
        <v>0</v>
      </c>
      <c r="BD95" s="54">
        <f t="shared" si="34"/>
        <v>-239.20195363970265</v>
      </c>
      <c r="BE95" s="54">
        <f t="shared" si="35"/>
        <v>-239.20195363970265</v>
      </c>
      <c r="BF95" s="54">
        <f t="shared" si="36"/>
        <v>-1.6892793336137193</v>
      </c>
      <c r="BG95" s="54">
        <f t="shared" si="37"/>
        <v>-1.6892793336137193</v>
      </c>
    </row>
    <row r="96" spans="2:59" x14ac:dyDescent="0.25">
      <c r="B96" s="93">
        <v>15999.999999999996</v>
      </c>
      <c r="C96" s="90">
        <v>1412.00218271932</v>
      </c>
      <c r="D96" s="90">
        <v>84.548582257619529</v>
      </c>
      <c r="E96" s="90">
        <v>2790.5171824055624</v>
      </c>
      <c r="F96" s="89">
        <v>162.34540092983099</v>
      </c>
      <c r="H96" s="92"/>
      <c r="I96" s="54"/>
      <c r="J96" s="54"/>
      <c r="K96" s="54"/>
      <c r="L96" s="64"/>
      <c r="N96" s="91">
        <v>16707.855683931328</v>
      </c>
      <c r="O96" s="90">
        <v>33019.466214543885</v>
      </c>
      <c r="P96" s="54"/>
      <c r="Q96" s="54"/>
      <c r="R96" s="90">
        <v>0.94347156400165688</v>
      </c>
      <c r="S96" s="89">
        <v>0.947310808124041</v>
      </c>
      <c r="T96" s="88">
        <v>690.14507414060552</v>
      </c>
      <c r="U96" s="87"/>
      <c r="AO96" s="91">
        <v>310.90925073589608</v>
      </c>
      <c r="AP96" s="89">
        <v>1146.3070543947561</v>
      </c>
      <c r="AQ96" s="5"/>
      <c r="AR96" s="41"/>
      <c r="AT96" s="54">
        <v>42.20000000000006</v>
      </c>
      <c r="AU96" s="54">
        <v>44.200000000000088</v>
      </c>
      <c r="AW96" s="54">
        <v>300</v>
      </c>
      <c r="AX96" s="54">
        <v>269.72647430712067</v>
      </c>
      <c r="AY96" s="54">
        <v>269.9430542388609</v>
      </c>
      <c r="AZ96" s="54">
        <v>331.4916542270671</v>
      </c>
      <c r="BA96" s="54">
        <v>0</v>
      </c>
      <c r="BB96" s="54">
        <v>0</v>
      </c>
      <c r="BD96" s="54">
        <f t="shared" si="34"/>
        <v>0</v>
      </c>
      <c r="BE96" s="54">
        <f t="shared" si="35"/>
        <v>0</v>
      </c>
      <c r="BF96" s="54">
        <f t="shared" si="36"/>
        <v>0</v>
      </c>
      <c r="BG96" s="54">
        <f t="shared" si="37"/>
        <v>0</v>
      </c>
    </row>
    <row r="97" spans="2:59" x14ac:dyDescent="0.25">
      <c r="B97" s="93"/>
      <c r="C97" s="90"/>
      <c r="D97" s="90"/>
      <c r="E97" s="90"/>
      <c r="F97" s="89"/>
      <c r="H97" s="92"/>
      <c r="I97" s="54"/>
      <c r="J97" s="54"/>
      <c r="K97" s="54"/>
      <c r="L97" s="64"/>
      <c r="N97" s="91"/>
      <c r="O97" s="90"/>
      <c r="P97" s="54"/>
      <c r="Q97" s="54"/>
      <c r="R97" s="90"/>
      <c r="S97" s="89"/>
      <c r="T97" s="88"/>
      <c r="U97" s="87"/>
      <c r="AO97" s="91"/>
      <c r="AP97" s="89"/>
      <c r="AQ97" s="5"/>
      <c r="AR97" s="41"/>
      <c r="AT97" s="54"/>
      <c r="AU97" s="54"/>
      <c r="AW97" s="54"/>
      <c r="AX97" s="54"/>
      <c r="AY97" s="54"/>
      <c r="AZ97" s="54"/>
      <c r="BA97" s="54"/>
      <c r="BB97" s="54"/>
      <c r="BD97" s="54">
        <f t="shared" si="34"/>
        <v>0</v>
      </c>
      <c r="BE97" s="54">
        <f t="shared" si="35"/>
        <v>0</v>
      </c>
      <c r="BF97" s="54">
        <f t="shared" si="36"/>
        <v>0</v>
      </c>
      <c r="BG97" s="54">
        <f t="shared" si="37"/>
        <v>0</v>
      </c>
    </row>
    <row r="98" spans="2:59" x14ac:dyDescent="0.25">
      <c r="B98" s="93"/>
      <c r="C98" s="90"/>
      <c r="D98" s="90"/>
      <c r="E98" s="90"/>
      <c r="F98" s="89"/>
      <c r="H98" s="92"/>
      <c r="I98" s="54"/>
      <c r="J98" s="54"/>
      <c r="K98" s="54"/>
      <c r="L98" s="64"/>
      <c r="N98" s="91"/>
      <c r="O98" s="90"/>
      <c r="P98" s="54"/>
      <c r="Q98" s="54"/>
      <c r="R98" s="90"/>
      <c r="S98" s="89"/>
      <c r="T98" s="88"/>
      <c r="U98" s="87"/>
      <c r="AO98" s="91"/>
      <c r="AP98" s="89"/>
      <c r="AQ98" s="5"/>
      <c r="AR98" s="41"/>
      <c r="AT98" s="54"/>
      <c r="AU98" s="54"/>
      <c r="AW98" s="54"/>
      <c r="AX98" s="54"/>
      <c r="AY98" s="54"/>
      <c r="AZ98" s="54"/>
      <c r="BA98" s="54"/>
      <c r="BB98" s="54"/>
      <c r="BD98" s="54">
        <f t="shared" si="34"/>
        <v>0</v>
      </c>
      <c r="BE98" s="54">
        <f t="shared" si="35"/>
        <v>0</v>
      </c>
      <c r="BF98" s="54">
        <f t="shared" si="36"/>
        <v>0</v>
      </c>
      <c r="BG98" s="54">
        <f t="shared" si="37"/>
        <v>0</v>
      </c>
    </row>
    <row r="99" spans="2:59" x14ac:dyDescent="0.25">
      <c r="B99" s="93"/>
      <c r="C99" s="90"/>
      <c r="D99" s="90"/>
      <c r="E99" s="90"/>
      <c r="F99" s="89"/>
      <c r="H99" s="92"/>
      <c r="I99" s="54"/>
      <c r="J99" s="54"/>
      <c r="K99" s="54"/>
      <c r="L99" s="64"/>
      <c r="N99" s="91"/>
      <c r="O99" s="90"/>
      <c r="P99" s="54"/>
      <c r="Q99" s="54"/>
      <c r="R99" s="90"/>
      <c r="S99" s="89"/>
      <c r="T99" s="88"/>
      <c r="U99" s="87"/>
      <c r="AO99" s="91"/>
      <c r="AP99" s="89"/>
      <c r="AQ99" s="5"/>
      <c r="AR99" s="41"/>
      <c r="AT99" s="54"/>
      <c r="AU99" s="54"/>
      <c r="AW99" s="54"/>
      <c r="AX99" s="54"/>
      <c r="AY99" s="54"/>
      <c r="AZ99" s="54"/>
      <c r="BA99" s="54"/>
      <c r="BB99" s="54"/>
      <c r="BD99" s="54">
        <f t="shared" si="34"/>
        <v>0</v>
      </c>
      <c r="BE99" s="54">
        <f t="shared" si="35"/>
        <v>0</v>
      </c>
      <c r="BF99" s="54">
        <f t="shared" si="36"/>
        <v>0</v>
      </c>
      <c r="BG99" s="54">
        <f t="shared" si="37"/>
        <v>0</v>
      </c>
    </row>
    <row r="100" spans="2:59" ht="13.8" thickBot="1" x14ac:dyDescent="0.3">
      <c r="B100" s="93"/>
      <c r="C100" s="90"/>
      <c r="D100" s="90"/>
      <c r="E100" s="90"/>
      <c r="F100" s="89"/>
      <c r="H100" s="92"/>
      <c r="I100" s="54"/>
      <c r="J100" s="54"/>
      <c r="K100" s="54"/>
      <c r="L100" s="64"/>
      <c r="N100" s="91"/>
      <c r="O100" s="90"/>
      <c r="P100" s="54"/>
      <c r="Q100" s="54"/>
      <c r="R100" s="90"/>
      <c r="S100" s="89"/>
      <c r="T100" s="88"/>
      <c r="U100" s="87"/>
      <c r="AO100" s="86"/>
      <c r="AP100" s="85"/>
      <c r="AQ100" s="3"/>
      <c r="AR100" s="23"/>
      <c r="AT100" s="54"/>
      <c r="AU100" s="54"/>
      <c r="AW100" s="54"/>
      <c r="AX100" s="54"/>
      <c r="AY100" s="54"/>
      <c r="AZ100" s="54"/>
      <c r="BA100" s="54"/>
      <c r="BB100" s="54"/>
      <c r="BD100" s="54">
        <f t="shared" si="34"/>
        <v>0</v>
      </c>
      <c r="BE100" s="54">
        <f t="shared" si="35"/>
        <v>0</v>
      </c>
      <c r="BF100" s="54">
        <f t="shared" si="36"/>
        <v>0</v>
      </c>
      <c r="BG100" s="54">
        <f t="shared" si="37"/>
        <v>0</v>
      </c>
    </row>
    <row r="101" spans="2:59" x14ac:dyDescent="0.25">
      <c r="B101" s="2"/>
      <c r="C101" s="54"/>
      <c r="D101" s="54"/>
      <c r="E101" s="54"/>
      <c r="F101" s="64"/>
      <c r="H101" s="2"/>
      <c r="I101" s="54"/>
      <c r="J101" s="54"/>
      <c r="K101" s="54"/>
      <c r="L101" s="64"/>
      <c r="N101" s="2"/>
      <c r="O101" s="54"/>
      <c r="P101" s="54"/>
      <c r="Q101" s="54"/>
      <c r="R101" s="54"/>
      <c r="S101" s="64"/>
      <c r="T101" s="2"/>
      <c r="U101" s="64"/>
    </row>
    <row r="102" spans="2:59" x14ac:dyDescent="0.25">
      <c r="B102" s="2"/>
      <c r="C102" s="54"/>
      <c r="D102" s="54"/>
      <c r="E102" s="54"/>
      <c r="F102" s="64"/>
      <c r="H102" s="2"/>
      <c r="I102" s="54"/>
      <c r="J102" s="54"/>
      <c r="K102" s="54"/>
      <c r="L102" s="64"/>
      <c r="N102" s="2"/>
      <c r="O102" s="54"/>
      <c r="P102" s="54"/>
      <c r="Q102" s="54"/>
      <c r="R102" s="54"/>
      <c r="S102" s="64"/>
      <c r="T102" s="2"/>
      <c r="U102" s="64"/>
    </row>
    <row r="103" spans="2:59" x14ac:dyDescent="0.25">
      <c r="B103" s="2"/>
      <c r="C103" s="54"/>
      <c r="D103" s="54"/>
      <c r="E103" s="54"/>
      <c r="F103" s="64"/>
      <c r="H103" s="2"/>
      <c r="I103" s="54"/>
      <c r="J103" s="54"/>
      <c r="K103" s="54"/>
      <c r="L103" s="64"/>
      <c r="N103" s="2"/>
      <c r="O103" s="54"/>
      <c r="P103" s="54"/>
      <c r="Q103" s="54"/>
      <c r="R103" s="54"/>
      <c r="S103" s="64"/>
      <c r="T103" s="2"/>
      <c r="U103" s="64"/>
    </row>
    <row r="104" spans="2:59" x14ac:dyDescent="0.25">
      <c r="B104" s="2"/>
      <c r="C104" s="54"/>
      <c r="D104" s="54"/>
      <c r="E104" s="54"/>
      <c r="F104" s="64"/>
      <c r="H104" s="2"/>
      <c r="I104" s="54"/>
      <c r="J104" s="54"/>
      <c r="K104" s="54"/>
      <c r="L104" s="64"/>
      <c r="N104" s="2"/>
      <c r="O104" s="54"/>
      <c r="P104" s="54"/>
      <c r="Q104" s="54"/>
      <c r="R104" s="54"/>
      <c r="S104" s="64"/>
      <c r="T104" s="2"/>
      <c r="U104" s="64"/>
    </row>
    <row r="105" spans="2:59" x14ac:dyDescent="0.25">
      <c r="B105" s="2"/>
      <c r="C105" s="54"/>
      <c r="D105" s="54"/>
      <c r="E105" s="54"/>
      <c r="F105" s="64"/>
      <c r="H105" s="2"/>
      <c r="I105" s="54"/>
      <c r="J105" s="54"/>
      <c r="K105" s="54"/>
      <c r="L105" s="64"/>
      <c r="N105" s="2"/>
      <c r="O105" s="54"/>
      <c r="P105" s="54"/>
      <c r="Q105" s="54"/>
      <c r="R105" s="54"/>
      <c r="S105" s="64"/>
      <c r="T105" s="2"/>
      <c r="U105" s="64"/>
    </row>
    <row r="106" spans="2:59" x14ac:dyDescent="0.25">
      <c r="B106" s="2"/>
      <c r="C106" s="54"/>
      <c r="D106" s="54"/>
      <c r="E106" s="54"/>
      <c r="F106" s="64"/>
      <c r="H106" s="2"/>
      <c r="I106" s="54"/>
      <c r="J106" s="54"/>
      <c r="K106" s="54"/>
      <c r="L106" s="64"/>
      <c r="N106" s="2"/>
      <c r="O106" s="54"/>
      <c r="P106" s="54"/>
      <c r="Q106" s="54"/>
      <c r="R106" s="54"/>
      <c r="S106" s="64"/>
      <c r="T106" s="2"/>
      <c r="U106" s="64"/>
    </row>
    <row r="107" spans="2:59" x14ac:dyDescent="0.25">
      <c r="B107" s="2"/>
      <c r="C107" s="54"/>
      <c r="D107" s="54"/>
      <c r="E107" s="54"/>
      <c r="F107" s="64"/>
      <c r="H107" s="2"/>
      <c r="I107" s="54"/>
      <c r="J107" s="54"/>
      <c r="K107" s="54"/>
      <c r="L107" s="64"/>
      <c r="N107" s="2"/>
      <c r="O107" s="54"/>
      <c r="P107" s="54"/>
      <c r="Q107" s="54"/>
      <c r="R107" s="54"/>
      <c r="S107" s="64"/>
      <c r="T107" s="2"/>
      <c r="U107" s="64"/>
    </row>
    <row r="108" spans="2:59" x14ac:dyDescent="0.25">
      <c r="B108" s="2"/>
      <c r="C108" s="54"/>
      <c r="D108" s="54"/>
      <c r="E108" s="54"/>
      <c r="F108" s="64"/>
      <c r="H108" s="2"/>
      <c r="I108" s="54"/>
      <c r="J108" s="54"/>
      <c r="K108" s="54"/>
      <c r="L108" s="64"/>
      <c r="N108" s="2"/>
      <c r="O108" s="54"/>
      <c r="P108" s="54"/>
      <c r="Q108" s="54"/>
      <c r="R108" s="54"/>
      <c r="S108" s="64"/>
      <c r="T108" s="2"/>
      <c r="U108" s="64"/>
    </row>
    <row r="109" spans="2:59" x14ac:dyDescent="0.25">
      <c r="B109" s="2"/>
      <c r="C109" s="54"/>
      <c r="D109" s="54"/>
      <c r="E109" s="54"/>
      <c r="F109" s="64"/>
      <c r="H109" s="2"/>
      <c r="I109" s="54"/>
      <c r="J109" s="54"/>
      <c r="K109" s="54"/>
      <c r="L109" s="64"/>
      <c r="N109" s="2"/>
      <c r="O109" s="54"/>
      <c r="P109" s="54"/>
      <c r="Q109" s="54"/>
      <c r="R109" s="54"/>
      <c r="S109" s="64"/>
      <c r="T109" s="2"/>
      <c r="U109" s="64"/>
    </row>
    <row r="110" spans="2:59" x14ac:dyDescent="0.25">
      <c r="B110" s="2"/>
      <c r="C110" s="54"/>
      <c r="D110" s="54"/>
      <c r="E110" s="54"/>
      <c r="F110" s="64"/>
      <c r="H110" s="2"/>
      <c r="I110" s="54"/>
      <c r="J110" s="54"/>
      <c r="K110" s="54"/>
      <c r="L110" s="64"/>
      <c r="N110" s="2"/>
      <c r="O110" s="54"/>
      <c r="P110" s="54"/>
      <c r="Q110" s="54"/>
      <c r="R110" s="54"/>
      <c r="S110" s="64"/>
      <c r="T110" s="2"/>
      <c r="U110" s="64"/>
    </row>
    <row r="111" spans="2:59" x14ac:dyDescent="0.25">
      <c r="B111" s="2"/>
      <c r="C111" s="54"/>
      <c r="D111" s="54"/>
      <c r="E111" s="54"/>
      <c r="F111" s="64"/>
      <c r="H111" s="2"/>
      <c r="I111" s="54"/>
      <c r="J111" s="54"/>
      <c r="K111" s="54"/>
      <c r="L111" s="64"/>
      <c r="N111" s="2"/>
      <c r="O111" s="54"/>
      <c r="P111" s="54"/>
      <c r="Q111" s="54"/>
      <c r="R111" s="54"/>
      <c r="S111" s="64"/>
      <c r="T111" s="2"/>
      <c r="U111" s="64"/>
    </row>
    <row r="112" spans="2:59" x14ac:dyDescent="0.25">
      <c r="B112" s="2"/>
      <c r="C112" s="54"/>
      <c r="D112" s="54"/>
      <c r="E112" s="54"/>
      <c r="F112" s="64"/>
      <c r="H112" s="2"/>
      <c r="I112" s="54"/>
      <c r="J112" s="54"/>
      <c r="K112" s="54"/>
      <c r="L112" s="64"/>
      <c r="N112" s="2"/>
      <c r="O112" s="54"/>
      <c r="P112" s="54"/>
      <c r="Q112" s="54"/>
      <c r="R112" s="54"/>
      <c r="S112" s="64"/>
      <c r="T112" s="2"/>
      <c r="U112" s="64"/>
    </row>
    <row r="113" spans="2:21" x14ac:dyDescent="0.25">
      <c r="B113" s="2"/>
      <c r="C113" s="54"/>
      <c r="D113" s="54"/>
      <c r="E113" s="54"/>
      <c r="F113" s="64"/>
      <c r="H113" s="2"/>
      <c r="I113" s="54"/>
      <c r="J113" s="54"/>
      <c r="K113" s="54"/>
      <c r="L113" s="64"/>
      <c r="N113" s="2"/>
      <c r="O113" s="54"/>
      <c r="P113" s="54"/>
      <c r="Q113" s="54"/>
      <c r="R113" s="54"/>
      <c r="S113" s="64"/>
      <c r="T113" s="2"/>
      <c r="U113" s="64"/>
    </row>
    <row r="114" spans="2:21" x14ac:dyDescent="0.25">
      <c r="B114" s="2"/>
      <c r="C114" s="54"/>
      <c r="D114" s="54"/>
      <c r="E114" s="54"/>
      <c r="F114" s="64"/>
      <c r="H114" s="2"/>
      <c r="I114" s="54"/>
      <c r="J114" s="54"/>
      <c r="K114" s="54"/>
      <c r="L114" s="64"/>
      <c r="N114" s="2"/>
      <c r="O114" s="54"/>
      <c r="P114" s="54"/>
      <c r="Q114" s="54"/>
      <c r="R114" s="54"/>
      <c r="S114" s="64"/>
      <c r="T114" s="2"/>
      <c r="U114" s="64"/>
    </row>
    <row r="115" spans="2:21" x14ac:dyDescent="0.25">
      <c r="B115" s="2"/>
      <c r="C115" s="54"/>
      <c r="D115" s="54"/>
      <c r="E115" s="54"/>
      <c r="F115" s="64"/>
      <c r="H115" s="2"/>
      <c r="I115" s="54"/>
      <c r="J115" s="54"/>
      <c r="K115" s="54"/>
      <c r="L115" s="64"/>
      <c r="N115" s="2"/>
      <c r="O115" s="54"/>
      <c r="P115" s="54"/>
      <c r="Q115" s="54"/>
      <c r="R115" s="54"/>
      <c r="S115" s="64"/>
      <c r="T115" s="2"/>
      <c r="U115" s="64"/>
    </row>
    <row r="116" spans="2:21" x14ac:dyDescent="0.25">
      <c r="B116" s="2"/>
      <c r="C116" s="54"/>
      <c r="D116" s="54"/>
      <c r="E116" s="54"/>
      <c r="F116" s="64"/>
      <c r="H116" s="2"/>
      <c r="I116" s="54"/>
      <c r="J116" s="54"/>
      <c r="K116" s="54"/>
      <c r="L116" s="64"/>
      <c r="N116" s="2"/>
      <c r="O116" s="54"/>
      <c r="P116" s="54"/>
      <c r="Q116" s="54"/>
      <c r="R116" s="54"/>
      <c r="S116" s="64"/>
      <c r="T116" s="2"/>
      <c r="U116" s="64"/>
    </row>
    <row r="117" spans="2:21" x14ac:dyDescent="0.25">
      <c r="B117" s="2"/>
      <c r="C117" s="54"/>
      <c r="D117" s="54"/>
      <c r="E117" s="54"/>
      <c r="F117" s="64"/>
      <c r="H117" s="2"/>
      <c r="I117" s="54"/>
      <c r="J117" s="54"/>
      <c r="K117" s="54"/>
      <c r="L117" s="64"/>
      <c r="N117" s="2"/>
      <c r="O117" s="54"/>
      <c r="P117" s="54"/>
      <c r="Q117" s="54"/>
      <c r="R117" s="54"/>
      <c r="S117" s="64"/>
      <c r="T117" s="2"/>
      <c r="U117" s="64"/>
    </row>
    <row r="118" spans="2:21" x14ac:dyDescent="0.25">
      <c r="B118" s="2"/>
      <c r="C118" s="54"/>
      <c r="D118" s="54"/>
      <c r="E118" s="54"/>
      <c r="F118" s="64"/>
      <c r="H118" s="2"/>
      <c r="I118" s="54"/>
      <c r="J118" s="54"/>
      <c r="K118" s="54"/>
      <c r="L118" s="64"/>
      <c r="N118" s="2"/>
      <c r="O118" s="54"/>
      <c r="P118" s="54"/>
      <c r="Q118" s="54"/>
      <c r="R118" s="54"/>
      <c r="S118" s="64"/>
      <c r="T118" s="2"/>
      <c r="U118" s="64"/>
    </row>
    <row r="119" spans="2:21" x14ac:dyDescent="0.25">
      <c r="B119" s="2"/>
      <c r="C119" s="54"/>
      <c r="D119" s="54"/>
      <c r="E119" s="54"/>
      <c r="F119" s="64"/>
      <c r="H119" s="2"/>
      <c r="I119" s="54"/>
      <c r="J119" s="54"/>
      <c r="K119" s="54"/>
      <c r="L119" s="64"/>
      <c r="N119" s="2"/>
      <c r="O119" s="54"/>
      <c r="P119" s="54"/>
      <c r="Q119" s="54"/>
      <c r="R119" s="54"/>
      <c r="S119" s="64"/>
      <c r="T119" s="2"/>
      <c r="U119" s="64"/>
    </row>
    <row r="120" spans="2:21" x14ac:dyDescent="0.25">
      <c r="B120" s="2"/>
      <c r="C120" s="54"/>
      <c r="D120" s="54"/>
      <c r="E120" s="54"/>
      <c r="F120" s="64"/>
      <c r="H120" s="2"/>
      <c r="I120" s="54"/>
      <c r="J120" s="54"/>
      <c r="K120" s="54"/>
      <c r="L120" s="64"/>
      <c r="N120" s="2"/>
      <c r="O120" s="54"/>
      <c r="P120" s="54"/>
      <c r="Q120" s="54"/>
      <c r="R120" s="54"/>
      <c r="S120" s="64"/>
      <c r="T120" s="2"/>
      <c r="U120" s="64"/>
    </row>
    <row r="121" spans="2:21" x14ac:dyDescent="0.25">
      <c r="B121" s="2"/>
      <c r="C121" s="54"/>
      <c r="D121" s="54"/>
      <c r="E121" s="54"/>
      <c r="F121" s="64"/>
      <c r="H121" s="2"/>
      <c r="I121" s="54"/>
      <c r="J121" s="54"/>
      <c r="K121" s="54"/>
      <c r="L121" s="64"/>
      <c r="N121" s="2"/>
      <c r="O121" s="54"/>
      <c r="P121" s="54"/>
      <c r="Q121" s="54"/>
      <c r="R121" s="54"/>
      <c r="S121" s="64"/>
      <c r="T121" s="2"/>
      <c r="U121" s="64"/>
    </row>
    <row r="122" spans="2:21" x14ac:dyDescent="0.25">
      <c r="B122" s="2"/>
      <c r="C122" s="54"/>
      <c r="D122" s="54"/>
      <c r="E122" s="54"/>
      <c r="F122" s="64"/>
      <c r="H122" s="2"/>
      <c r="I122" s="54"/>
      <c r="J122" s="54"/>
      <c r="K122" s="54"/>
      <c r="L122" s="64"/>
      <c r="N122" s="2"/>
      <c r="O122" s="54"/>
      <c r="P122" s="54"/>
      <c r="Q122" s="54"/>
      <c r="R122" s="54"/>
      <c r="S122" s="64"/>
      <c r="T122" s="2"/>
      <c r="U122" s="64"/>
    </row>
    <row r="123" spans="2:21" x14ac:dyDescent="0.25">
      <c r="B123" s="2"/>
      <c r="C123" s="54"/>
      <c r="D123" s="54"/>
      <c r="E123" s="54"/>
      <c r="F123" s="64"/>
      <c r="H123" s="2"/>
      <c r="I123" s="54"/>
      <c r="J123" s="54"/>
      <c r="K123" s="54"/>
      <c r="L123" s="64"/>
      <c r="N123" s="2"/>
      <c r="O123" s="54"/>
      <c r="P123" s="54"/>
      <c r="Q123" s="54"/>
      <c r="R123" s="54"/>
      <c r="S123" s="64"/>
      <c r="T123" s="2"/>
      <c r="U123" s="64"/>
    </row>
    <row r="124" spans="2:21" x14ac:dyDescent="0.25">
      <c r="B124" s="2"/>
      <c r="C124" s="54"/>
      <c r="D124" s="54"/>
      <c r="E124" s="54"/>
      <c r="F124" s="64"/>
      <c r="H124" s="2"/>
      <c r="I124" s="54"/>
      <c r="J124" s="54"/>
      <c r="K124" s="54"/>
      <c r="L124" s="64"/>
      <c r="N124" s="2"/>
      <c r="O124" s="54"/>
      <c r="P124" s="54"/>
      <c r="Q124" s="54"/>
      <c r="R124" s="54"/>
      <c r="S124" s="64"/>
      <c r="T124" s="2"/>
      <c r="U124" s="64"/>
    </row>
    <row r="125" spans="2:21" x14ac:dyDescent="0.25">
      <c r="B125" s="2"/>
      <c r="C125" s="54"/>
      <c r="D125" s="54"/>
      <c r="E125" s="54"/>
      <c r="F125" s="64"/>
      <c r="H125" s="2"/>
      <c r="I125" s="54"/>
      <c r="J125" s="54"/>
      <c r="K125" s="54"/>
      <c r="L125" s="64"/>
      <c r="N125" s="2"/>
      <c r="O125" s="54"/>
      <c r="P125" s="54"/>
      <c r="Q125" s="54"/>
      <c r="R125" s="54"/>
      <c r="S125" s="64"/>
      <c r="T125" s="2"/>
      <c r="U125" s="64"/>
    </row>
    <row r="126" spans="2:21" x14ac:dyDescent="0.25">
      <c r="B126" s="2"/>
      <c r="C126" s="54"/>
      <c r="D126" s="54"/>
      <c r="E126" s="54"/>
      <c r="F126" s="64"/>
      <c r="H126" s="2"/>
      <c r="I126" s="54"/>
      <c r="J126" s="54"/>
      <c r="K126" s="54"/>
      <c r="L126" s="64"/>
      <c r="N126" s="2"/>
      <c r="O126" s="54"/>
      <c r="P126" s="54"/>
      <c r="Q126" s="54"/>
      <c r="R126" s="54"/>
      <c r="S126" s="64"/>
      <c r="T126" s="2"/>
      <c r="U126" s="64"/>
    </row>
    <row r="127" spans="2:21" x14ac:dyDescent="0.25">
      <c r="B127" s="2"/>
      <c r="C127" s="54"/>
      <c r="D127" s="54"/>
      <c r="E127" s="54"/>
      <c r="F127" s="64"/>
      <c r="H127" s="2"/>
      <c r="I127" s="54"/>
      <c r="J127" s="54"/>
      <c r="K127" s="54"/>
      <c r="L127" s="64"/>
      <c r="N127" s="2"/>
      <c r="O127" s="54"/>
      <c r="P127" s="54"/>
      <c r="Q127" s="54"/>
      <c r="R127" s="54"/>
      <c r="S127" s="64"/>
      <c r="T127" s="2"/>
      <c r="U127" s="64"/>
    </row>
    <row r="128" spans="2:21" x14ac:dyDescent="0.25">
      <c r="B128" s="2"/>
      <c r="C128" s="54"/>
      <c r="D128" s="54"/>
      <c r="E128" s="54"/>
      <c r="F128" s="64"/>
      <c r="H128" s="2"/>
      <c r="I128" s="54"/>
      <c r="J128" s="54"/>
      <c r="K128" s="54"/>
      <c r="L128" s="64"/>
      <c r="N128" s="2"/>
      <c r="O128" s="54"/>
      <c r="P128" s="54"/>
      <c r="Q128" s="54"/>
      <c r="R128" s="54"/>
      <c r="S128" s="64"/>
      <c r="T128" s="2"/>
      <c r="U128" s="64"/>
    </row>
    <row r="129" spans="2:21" x14ac:dyDescent="0.25">
      <c r="B129" s="2"/>
      <c r="C129" s="54"/>
      <c r="D129" s="54"/>
      <c r="E129" s="54"/>
      <c r="F129" s="64"/>
      <c r="H129" s="2"/>
      <c r="I129" s="54"/>
      <c r="J129" s="54"/>
      <c r="K129" s="54"/>
      <c r="L129" s="64"/>
      <c r="N129" s="2"/>
      <c r="O129" s="54"/>
      <c r="P129" s="54"/>
      <c r="Q129" s="54"/>
      <c r="R129" s="54"/>
      <c r="S129" s="64"/>
      <c r="T129" s="2"/>
      <c r="U129" s="64"/>
    </row>
    <row r="130" spans="2:21" x14ac:dyDescent="0.25">
      <c r="B130" s="2"/>
      <c r="C130" s="54"/>
      <c r="D130" s="54"/>
      <c r="E130" s="54"/>
      <c r="F130" s="64"/>
      <c r="H130" s="2"/>
      <c r="I130" s="54"/>
      <c r="J130" s="54"/>
      <c r="K130" s="54"/>
      <c r="L130" s="64"/>
      <c r="N130" s="2"/>
      <c r="O130" s="54"/>
      <c r="P130" s="54"/>
      <c r="Q130" s="54"/>
      <c r="R130" s="54"/>
      <c r="S130" s="64"/>
      <c r="T130" s="2"/>
      <c r="U130" s="64"/>
    </row>
    <row r="131" spans="2:21" x14ac:dyDescent="0.25">
      <c r="B131" s="2"/>
      <c r="C131" s="54"/>
      <c r="D131" s="54"/>
      <c r="E131" s="54"/>
      <c r="F131" s="64"/>
      <c r="H131" s="2"/>
      <c r="I131" s="54"/>
      <c r="J131" s="54"/>
      <c r="K131" s="54"/>
      <c r="L131" s="64"/>
      <c r="N131" s="2"/>
      <c r="O131" s="54"/>
      <c r="P131" s="54"/>
      <c r="Q131" s="54"/>
      <c r="R131" s="54"/>
      <c r="S131" s="64"/>
      <c r="T131" s="2"/>
      <c r="U131" s="64"/>
    </row>
    <row r="132" spans="2:21" x14ac:dyDescent="0.25">
      <c r="B132" s="2"/>
      <c r="C132" s="54"/>
      <c r="D132" s="54"/>
      <c r="E132" s="54"/>
      <c r="F132" s="64"/>
      <c r="H132" s="2"/>
      <c r="I132" s="54"/>
      <c r="J132" s="54"/>
      <c r="K132" s="54"/>
      <c r="L132" s="64"/>
      <c r="N132" s="2"/>
      <c r="O132" s="54"/>
      <c r="P132" s="54"/>
      <c r="Q132" s="54"/>
      <c r="R132" s="54"/>
      <c r="S132" s="64"/>
      <c r="T132" s="2"/>
      <c r="U132" s="64"/>
    </row>
    <row r="133" spans="2:21" x14ac:dyDescent="0.25">
      <c r="B133" s="2"/>
      <c r="C133" s="54"/>
      <c r="D133" s="54"/>
      <c r="E133" s="54"/>
      <c r="F133" s="64"/>
      <c r="H133" s="2"/>
      <c r="I133" s="54"/>
      <c r="J133" s="54"/>
      <c r="K133" s="54"/>
      <c r="L133" s="64"/>
      <c r="N133" s="2"/>
      <c r="O133" s="54"/>
      <c r="P133" s="54"/>
      <c r="Q133" s="54"/>
      <c r="R133" s="54"/>
      <c r="S133" s="64"/>
      <c r="T133" s="2"/>
      <c r="U133" s="64"/>
    </row>
    <row r="134" spans="2:21" x14ac:dyDescent="0.25">
      <c r="B134" s="2"/>
      <c r="C134" s="54"/>
      <c r="D134" s="54"/>
      <c r="E134" s="54"/>
      <c r="F134" s="64"/>
      <c r="H134" s="2"/>
      <c r="I134" s="54"/>
      <c r="J134" s="54"/>
      <c r="K134" s="54"/>
      <c r="L134" s="64"/>
      <c r="N134" s="2"/>
      <c r="O134" s="54"/>
      <c r="P134" s="54"/>
      <c r="Q134" s="54"/>
      <c r="R134" s="54"/>
      <c r="S134" s="64"/>
      <c r="T134" s="2"/>
      <c r="U134" s="64"/>
    </row>
    <row r="135" spans="2:21" x14ac:dyDescent="0.25">
      <c r="B135" s="2"/>
      <c r="C135" s="54"/>
      <c r="D135" s="54"/>
      <c r="E135" s="54"/>
      <c r="F135" s="64"/>
      <c r="H135" s="2"/>
      <c r="I135" s="54"/>
      <c r="J135" s="54"/>
      <c r="K135" s="54"/>
      <c r="L135" s="64"/>
      <c r="N135" s="2"/>
      <c r="O135" s="54"/>
      <c r="P135" s="54"/>
      <c r="Q135" s="54"/>
      <c r="R135" s="54"/>
      <c r="S135" s="64"/>
      <c r="T135" s="2"/>
      <c r="U135" s="64"/>
    </row>
    <row r="136" spans="2:21" x14ac:dyDescent="0.25">
      <c r="B136" s="2"/>
      <c r="C136" s="54"/>
      <c r="D136" s="54"/>
      <c r="E136" s="54"/>
      <c r="F136" s="64"/>
      <c r="H136" s="2"/>
      <c r="I136" s="54"/>
      <c r="J136" s="54"/>
      <c r="K136" s="54"/>
      <c r="L136" s="64"/>
      <c r="N136" s="2"/>
      <c r="O136" s="54"/>
      <c r="P136" s="54"/>
      <c r="Q136" s="54"/>
      <c r="R136" s="54"/>
      <c r="S136" s="64"/>
      <c r="T136" s="2"/>
      <c r="U136" s="64"/>
    </row>
    <row r="137" spans="2:21" x14ac:dyDescent="0.25">
      <c r="B137" s="2"/>
      <c r="C137" s="54"/>
      <c r="D137" s="54"/>
      <c r="E137" s="54"/>
      <c r="F137" s="64"/>
      <c r="H137" s="2"/>
      <c r="I137" s="54"/>
      <c r="J137" s="54"/>
      <c r="K137" s="54"/>
      <c r="L137" s="64"/>
      <c r="N137" s="2"/>
      <c r="O137" s="54"/>
      <c r="P137" s="54"/>
      <c r="Q137" s="54"/>
      <c r="R137" s="54"/>
      <c r="S137" s="64"/>
      <c r="T137" s="2"/>
      <c r="U137" s="64"/>
    </row>
    <row r="138" spans="2:21" x14ac:dyDescent="0.25">
      <c r="B138" s="2"/>
      <c r="C138" s="54"/>
      <c r="D138" s="54"/>
      <c r="E138" s="54"/>
      <c r="F138" s="64"/>
      <c r="H138" s="2"/>
      <c r="I138" s="54"/>
      <c r="J138" s="54"/>
      <c r="K138" s="54"/>
      <c r="L138" s="64"/>
      <c r="N138" s="2"/>
      <c r="O138" s="54"/>
      <c r="P138" s="54"/>
      <c r="Q138" s="54"/>
      <c r="R138" s="54"/>
      <c r="S138" s="64"/>
      <c r="T138" s="2"/>
      <c r="U138" s="64"/>
    </row>
    <row r="139" spans="2:21" x14ac:dyDescent="0.25">
      <c r="B139" s="2"/>
      <c r="C139" s="54"/>
      <c r="D139" s="54"/>
      <c r="E139" s="54"/>
      <c r="F139" s="64"/>
      <c r="H139" s="2"/>
      <c r="I139" s="54"/>
      <c r="J139" s="54"/>
      <c r="K139" s="54"/>
      <c r="L139" s="64"/>
      <c r="N139" s="2"/>
      <c r="O139" s="54"/>
      <c r="P139" s="54"/>
      <c r="Q139" s="54"/>
      <c r="R139" s="54"/>
      <c r="S139" s="64"/>
      <c r="T139" s="2"/>
      <c r="U139" s="64"/>
    </row>
    <row r="140" spans="2:21" x14ac:dyDescent="0.25">
      <c r="B140" s="2"/>
      <c r="C140" s="54"/>
      <c r="D140" s="54"/>
      <c r="E140" s="54"/>
      <c r="F140" s="64"/>
      <c r="H140" s="2"/>
      <c r="I140" s="54"/>
      <c r="J140" s="54"/>
      <c r="K140" s="54"/>
      <c r="L140" s="64"/>
      <c r="N140" s="2"/>
      <c r="O140" s="54"/>
      <c r="P140" s="54"/>
      <c r="Q140" s="54"/>
      <c r="R140" s="54"/>
      <c r="S140" s="64"/>
      <c r="T140" s="2"/>
      <c r="U140" s="64"/>
    </row>
    <row r="141" spans="2:21" x14ac:dyDescent="0.25">
      <c r="B141" s="2"/>
      <c r="C141" s="54"/>
      <c r="D141" s="54"/>
      <c r="E141" s="54"/>
      <c r="F141" s="64"/>
      <c r="H141" s="2"/>
      <c r="I141" s="54"/>
      <c r="J141" s="54"/>
      <c r="K141" s="54"/>
      <c r="L141" s="64"/>
      <c r="N141" s="2"/>
      <c r="O141" s="54"/>
      <c r="P141" s="54"/>
      <c r="Q141" s="54"/>
      <c r="R141" s="54"/>
      <c r="S141" s="64"/>
      <c r="T141" s="2"/>
      <c r="U141" s="64"/>
    </row>
    <row r="142" spans="2:21" x14ac:dyDescent="0.25">
      <c r="B142" s="2"/>
      <c r="C142" s="54"/>
      <c r="D142" s="54"/>
      <c r="E142" s="54"/>
      <c r="F142" s="64"/>
      <c r="H142" s="2"/>
      <c r="I142" s="54"/>
      <c r="J142" s="54"/>
      <c r="K142" s="54"/>
      <c r="L142" s="64"/>
      <c r="N142" s="2"/>
      <c r="O142" s="54"/>
      <c r="P142" s="54"/>
      <c r="Q142" s="54"/>
      <c r="R142" s="54"/>
      <c r="S142" s="64"/>
      <c r="T142" s="2"/>
      <c r="U142" s="64"/>
    </row>
    <row r="143" spans="2:21" x14ac:dyDescent="0.25">
      <c r="B143" s="2"/>
      <c r="C143" s="54"/>
      <c r="D143" s="54"/>
      <c r="E143" s="54"/>
      <c r="F143" s="64"/>
      <c r="H143" s="2"/>
      <c r="I143" s="54"/>
      <c r="J143" s="54"/>
      <c r="K143" s="54"/>
      <c r="L143" s="64"/>
      <c r="N143" s="2"/>
      <c r="O143" s="54"/>
      <c r="P143" s="54"/>
      <c r="Q143" s="54"/>
      <c r="R143" s="54"/>
      <c r="S143" s="64"/>
      <c r="T143" s="2"/>
      <c r="U143" s="64"/>
    </row>
    <row r="144" spans="2:21" x14ac:dyDescent="0.25">
      <c r="B144" s="2"/>
      <c r="C144" s="54"/>
      <c r="D144" s="54"/>
      <c r="E144" s="54"/>
      <c r="F144" s="64"/>
      <c r="H144" s="2"/>
      <c r="I144" s="54"/>
      <c r="J144" s="54"/>
      <c r="K144" s="54"/>
      <c r="L144" s="64"/>
      <c r="N144" s="2"/>
      <c r="O144" s="54"/>
      <c r="P144" s="54"/>
      <c r="Q144" s="54"/>
      <c r="R144" s="54"/>
      <c r="S144" s="64"/>
      <c r="T144" s="2"/>
      <c r="U144" s="64"/>
    </row>
    <row r="145" spans="2:21" x14ac:dyDescent="0.25">
      <c r="B145" s="2"/>
      <c r="C145" s="54"/>
      <c r="D145" s="54"/>
      <c r="E145" s="54"/>
      <c r="F145" s="64"/>
      <c r="H145" s="2"/>
      <c r="I145" s="54"/>
      <c r="J145" s="54"/>
      <c r="K145" s="54"/>
      <c r="L145" s="64"/>
      <c r="N145" s="2"/>
      <c r="O145" s="54"/>
      <c r="P145" s="54"/>
      <c r="Q145" s="54"/>
      <c r="R145" s="54"/>
      <c r="S145" s="64"/>
      <c r="T145" s="2"/>
      <c r="U145" s="64"/>
    </row>
    <row r="146" spans="2:21" x14ac:dyDescent="0.25">
      <c r="B146" s="2"/>
      <c r="C146" s="54"/>
      <c r="D146" s="54"/>
      <c r="E146" s="54"/>
      <c r="F146" s="64"/>
      <c r="H146" s="2"/>
      <c r="I146" s="54"/>
      <c r="J146" s="54"/>
      <c r="K146" s="54"/>
      <c r="L146" s="64"/>
      <c r="N146" s="2"/>
      <c r="O146" s="54"/>
      <c r="P146" s="54"/>
      <c r="Q146" s="54"/>
      <c r="R146" s="54"/>
      <c r="S146" s="64"/>
      <c r="T146" s="2"/>
      <c r="U146" s="64"/>
    </row>
    <row r="147" spans="2:21" x14ac:dyDescent="0.25">
      <c r="B147" s="2"/>
      <c r="C147" s="54"/>
      <c r="D147" s="54"/>
      <c r="E147" s="54"/>
      <c r="F147" s="64"/>
      <c r="H147" s="2"/>
      <c r="I147" s="54"/>
      <c r="J147" s="54"/>
      <c r="K147" s="54"/>
      <c r="L147" s="64"/>
      <c r="N147" s="2"/>
      <c r="O147" s="54"/>
      <c r="P147" s="54"/>
      <c r="Q147" s="54"/>
      <c r="R147" s="54"/>
      <c r="S147" s="64"/>
      <c r="T147" s="2"/>
      <c r="U147" s="64"/>
    </row>
    <row r="148" spans="2:21" x14ac:dyDescent="0.25">
      <c r="B148" s="2"/>
      <c r="C148" s="54"/>
      <c r="D148" s="54"/>
      <c r="E148" s="54"/>
      <c r="F148" s="64"/>
      <c r="H148" s="2"/>
      <c r="I148" s="54"/>
      <c r="J148" s="54"/>
      <c r="K148" s="54"/>
      <c r="L148" s="64"/>
      <c r="N148" s="2"/>
      <c r="O148" s="54"/>
      <c r="P148" s="54"/>
      <c r="Q148" s="54"/>
      <c r="R148" s="54"/>
      <c r="S148" s="64"/>
      <c r="T148" s="2"/>
      <c r="U148" s="64"/>
    </row>
    <row r="149" spans="2:21" x14ac:dyDescent="0.25">
      <c r="B149" s="2"/>
      <c r="C149" s="54"/>
      <c r="D149" s="54"/>
      <c r="E149" s="54"/>
      <c r="F149" s="64"/>
      <c r="H149" s="2"/>
      <c r="I149" s="54"/>
      <c r="J149" s="54"/>
      <c r="K149" s="54"/>
      <c r="L149" s="64"/>
      <c r="N149" s="2"/>
      <c r="O149" s="54"/>
      <c r="P149" s="54"/>
      <c r="Q149" s="54"/>
      <c r="R149" s="54"/>
      <c r="S149" s="64"/>
      <c r="T149" s="2"/>
      <c r="U149" s="64"/>
    </row>
    <row r="150" spans="2:21" x14ac:dyDescent="0.25">
      <c r="B150" s="2"/>
      <c r="C150" s="54"/>
      <c r="D150" s="54"/>
      <c r="E150" s="54"/>
      <c r="F150" s="64"/>
      <c r="H150" s="2"/>
      <c r="I150" s="54"/>
      <c r="J150" s="54"/>
      <c r="K150" s="54"/>
      <c r="L150" s="64"/>
      <c r="N150" s="2"/>
      <c r="O150" s="54"/>
      <c r="P150" s="54"/>
      <c r="Q150" s="54"/>
      <c r="R150" s="54"/>
      <c r="S150" s="64"/>
      <c r="T150" s="2"/>
      <c r="U150" s="64"/>
    </row>
    <row r="151" spans="2:21" x14ac:dyDescent="0.25">
      <c r="B151" s="2"/>
      <c r="C151" s="54"/>
      <c r="D151" s="54"/>
      <c r="E151" s="54"/>
      <c r="F151" s="64"/>
      <c r="H151" s="2"/>
      <c r="I151" s="54"/>
      <c r="J151" s="54"/>
      <c r="K151" s="54"/>
      <c r="L151" s="64"/>
      <c r="N151" s="2"/>
      <c r="O151" s="54"/>
      <c r="P151" s="54"/>
      <c r="Q151" s="54"/>
      <c r="R151" s="54"/>
      <c r="S151" s="64"/>
      <c r="T151" s="2"/>
      <c r="U151" s="64"/>
    </row>
    <row r="152" spans="2:21" x14ac:dyDescent="0.25">
      <c r="B152" s="2"/>
      <c r="C152" s="54"/>
      <c r="D152" s="54"/>
      <c r="E152" s="54"/>
      <c r="F152" s="64"/>
      <c r="H152" s="2"/>
      <c r="I152" s="54"/>
      <c r="J152" s="54"/>
      <c r="K152" s="54"/>
      <c r="L152" s="64"/>
      <c r="N152" s="2"/>
      <c r="O152" s="54"/>
      <c r="P152" s="54"/>
      <c r="Q152" s="54"/>
      <c r="R152" s="54"/>
      <c r="S152" s="64"/>
      <c r="T152" s="2"/>
      <c r="U152" s="64"/>
    </row>
    <row r="153" spans="2:21" x14ac:dyDescent="0.25">
      <c r="B153" s="2"/>
      <c r="C153" s="54"/>
      <c r="D153" s="54"/>
      <c r="E153" s="54"/>
      <c r="F153" s="64"/>
      <c r="H153" s="2"/>
      <c r="I153" s="54"/>
      <c r="J153" s="54"/>
      <c r="K153" s="54"/>
      <c r="L153" s="64"/>
      <c r="N153" s="2"/>
      <c r="O153" s="54"/>
      <c r="P153" s="54"/>
      <c r="Q153" s="54"/>
      <c r="R153" s="54"/>
      <c r="S153" s="64"/>
      <c r="T153" s="2"/>
      <c r="U153" s="64"/>
    </row>
    <row r="154" spans="2:21" x14ac:dyDescent="0.25">
      <c r="B154" s="2"/>
      <c r="C154" s="54"/>
      <c r="D154" s="54"/>
      <c r="E154" s="54"/>
      <c r="F154" s="64"/>
      <c r="H154" s="2"/>
      <c r="I154" s="54"/>
      <c r="J154" s="54"/>
      <c r="K154" s="54"/>
      <c r="L154" s="64"/>
      <c r="N154" s="2"/>
      <c r="O154" s="54"/>
      <c r="P154" s="54"/>
      <c r="Q154" s="54"/>
      <c r="R154" s="54"/>
      <c r="S154" s="64"/>
      <c r="T154" s="2"/>
      <c r="U154" s="64"/>
    </row>
    <row r="155" spans="2:21" x14ac:dyDescent="0.25">
      <c r="B155" s="2"/>
      <c r="C155" s="54"/>
      <c r="D155" s="54"/>
      <c r="E155" s="54"/>
      <c r="F155" s="64"/>
      <c r="H155" s="2"/>
      <c r="I155" s="54"/>
      <c r="J155" s="54"/>
      <c r="K155" s="54"/>
      <c r="L155" s="64"/>
      <c r="N155" s="2"/>
      <c r="O155" s="54"/>
      <c r="P155" s="54"/>
      <c r="Q155" s="54"/>
      <c r="R155" s="54"/>
      <c r="S155" s="64"/>
      <c r="T155" s="2"/>
      <c r="U155" s="64"/>
    </row>
    <row r="156" spans="2:21" x14ac:dyDescent="0.25">
      <c r="B156" s="2"/>
      <c r="C156" s="54"/>
      <c r="D156" s="54"/>
      <c r="E156" s="54"/>
      <c r="F156" s="64"/>
      <c r="H156" s="2"/>
      <c r="I156" s="54"/>
      <c r="J156" s="54"/>
      <c r="K156" s="54"/>
      <c r="L156" s="64"/>
      <c r="N156" s="2"/>
      <c r="O156" s="54"/>
      <c r="P156" s="54"/>
      <c r="Q156" s="54"/>
      <c r="R156" s="54"/>
      <c r="S156" s="64"/>
      <c r="T156" s="2"/>
      <c r="U156" s="64"/>
    </row>
    <row r="157" spans="2:21" x14ac:dyDescent="0.25">
      <c r="B157" s="2"/>
      <c r="C157" s="54"/>
      <c r="D157" s="54"/>
      <c r="E157" s="54"/>
      <c r="F157" s="64"/>
      <c r="H157" s="2"/>
      <c r="I157" s="54"/>
      <c r="J157" s="54"/>
      <c r="K157" s="54"/>
      <c r="L157" s="64"/>
      <c r="N157" s="2"/>
      <c r="O157" s="54"/>
      <c r="P157" s="54"/>
      <c r="Q157" s="54"/>
      <c r="R157" s="54"/>
      <c r="S157" s="64"/>
      <c r="T157" s="2"/>
      <c r="U157" s="64"/>
    </row>
    <row r="158" spans="2:21" x14ac:dyDescent="0.25">
      <c r="B158" s="2"/>
      <c r="C158" s="54"/>
      <c r="D158" s="54"/>
      <c r="E158" s="54"/>
      <c r="F158" s="64"/>
      <c r="H158" s="2"/>
      <c r="I158" s="54"/>
      <c r="J158" s="54"/>
      <c r="K158" s="54"/>
      <c r="L158" s="64"/>
      <c r="N158" s="2"/>
      <c r="O158" s="54"/>
      <c r="P158" s="54"/>
      <c r="Q158" s="54"/>
      <c r="R158" s="54"/>
      <c r="S158" s="64"/>
      <c r="T158" s="2"/>
      <c r="U158" s="64"/>
    </row>
    <row r="159" spans="2:21" x14ac:dyDescent="0.25">
      <c r="B159" s="2"/>
      <c r="C159" s="54"/>
      <c r="D159" s="54"/>
      <c r="E159" s="54"/>
      <c r="F159" s="64"/>
      <c r="H159" s="2"/>
      <c r="I159" s="54"/>
      <c r="J159" s="54"/>
      <c r="K159" s="54"/>
      <c r="L159" s="64"/>
      <c r="N159" s="2"/>
      <c r="O159" s="54"/>
      <c r="P159" s="54"/>
      <c r="Q159" s="54"/>
      <c r="R159" s="54"/>
      <c r="S159" s="64"/>
      <c r="T159" s="2"/>
      <c r="U159" s="64"/>
    </row>
    <row r="160" spans="2:21" x14ac:dyDescent="0.25">
      <c r="B160" s="2"/>
      <c r="C160" s="54"/>
      <c r="D160" s="54"/>
      <c r="E160" s="54"/>
      <c r="F160" s="64"/>
      <c r="H160" s="2"/>
      <c r="I160" s="54"/>
      <c r="J160" s="54"/>
      <c r="K160" s="54"/>
      <c r="L160" s="64"/>
      <c r="N160" s="2"/>
      <c r="O160" s="54"/>
      <c r="P160" s="54"/>
      <c r="Q160" s="54"/>
      <c r="R160" s="54"/>
      <c r="S160" s="64"/>
      <c r="T160" s="2"/>
      <c r="U160" s="64"/>
    </row>
    <row r="161" spans="2:21" x14ac:dyDescent="0.25">
      <c r="B161" s="2"/>
      <c r="C161" s="54"/>
      <c r="D161" s="54"/>
      <c r="E161" s="54"/>
      <c r="F161" s="64"/>
      <c r="H161" s="2"/>
      <c r="I161" s="54"/>
      <c r="J161" s="54"/>
      <c r="K161" s="54"/>
      <c r="L161" s="64"/>
      <c r="N161" s="2"/>
      <c r="O161" s="54"/>
      <c r="P161" s="54"/>
      <c r="Q161" s="54"/>
      <c r="R161" s="54"/>
      <c r="S161" s="64"/>
      <c r="T161" s="2"/>
      <c r="U161" s="64"/>
    </row>
    <row r="162" spans="2:21" x14ac:dyDescent="0.25">
      <c r="B162" s="2"/>
      <c r="C162" s="54"/>
      <c r="D162" s="54"/>
      <c r="E162" s="54"/>
      <c r="F162" s="64"/>
      <c r="H162" s="2"/>
      <c r="I162" s="54"/>
      <c r="J162" s="54"/>
      <c r="K162" s="54"/>
      <c r="L162" s="64"/>
      <c r="N162" s="2"/>
      <c r="O162" s="54"/>
      <c r="P162" s="54"/>
      <c r="Q162" s="54"/>
      <c r="R162" s="54"/>
      <c r="S162" s="64"/>
      <c r="T162" s="2"/>
      <c r="U162" s="64"/>
    </row>
    <row r="163" spans="2:21" x14ac:dyDescent="0.25">
      <c r="B163" s="2"/>
      <c r="C163" s="54"/>
      <c r="D163" s="54"/>
      <c r="E163" s="54"/>
      <c r="F163" s="64"/>
      <c r="H163" s="2"/>
      <c r="I163" s="54"/>
      <c r="J163" s="54"/>
      <c r="K163" s="54"/>
      <c r="L163" s="64"/>
      <c r="N163" s="2"/>
      <c r="O163" s="54"/>
      <c r="P163" s="54"/>
      <c r="Q163" s="54"/>
      <c r="R163" s="54"/>
      <c r="S163" s="64"/>
      <c r="T163" s="2"/>
      <c r="U163" s="64"/>
    </row>
    <row r="164" spans="2:21" x14ac:dyDescent="0.25">
      <c r="B164" s="2"/>
      <c r="C164" s="54"/>
      <c r="D164" s="54"/>
      <c r="E164" s="54"/>
      <c r="F164" s="64"/>
      <c r="H164" s="2"/>
      <c r="I164" s="54"/>
      <c r="J164" s="54"/>
      <c r="K164" s="54"/>
      <c r="L164" s="64"/>
      <c r="N164" s="2"/>
      <c r="O164" s="54"/>
      <c r="P164" s="54"/>
      <c r="Q164" s="54"/>
      <c r="R164" s="54"/>
      <c r="S164" s="64"/>
      <c r="T164" s="2"/>
      <c r="U164" s="64"/>
    </row>
    <row r="165" spans="2:21" x14ac:dyDescent="0.25">
      <c r="B165" s="2"/>
      <c r="C165" s="54"/>
      <c r="D165" s="54"/>
      <c r="E165" s="54"/>
      <c r="F165" s="64"/>
      <c r="H165" s="2"/>
      <c r="I165" s="54"/>
      <c r="J165" s="54"/>
      <c r="K165" s="54"/>
      <c r="L165" s="64"/>
      <c r="N165" s="2"/>
      <c r="O165" s="54"/>
      <c r="P165" s="54"/>
      <c r="Q165" s="54"/>
      <c r="R165" s="54"/>
      <c r="S165" s="64"/>
      <c r="T165" s="2"/>
      <c r="U165" s="64"/>
    </row>
    <row r="166" spans="2:21" x14ac:dyDescent="0.25">
      <c r="B166" s="2"/>
      <c r="C166" s="54"/>
      <c r="D166" s="54"/>
      <c r="E166" s="54"/>
      <c r="F166" s="64"/>
      <c r="H166" s="2"/>
      <c r="I166" s="54"/>
      <c r="J166" s="54"/>
      <c r="K166" s="54"/>
      <c r="L166" s="64"/>
      <c r="N166" s="2"/>
      <c r="O166" s="54"/>
      <c r="P166" s="54"/>
      <c r="Q166" s="54"/>
      <c r="R166" s="54"/>
      <c r="S166" s="64"/>
      <c r="T166" s="2"/>
      <c r="U166" s="64"/>
    </row>
    <row r="167" spans="2:21" x14ac:dyDescent="0.25">
      <c r="B167" s="2"/>
      <c r="C167" s="54"/>
      <c r="D167" s="54"/>
      <c r="E167" s="54"/>
      <c r="F167" s="64"/>
      <c r="H167" s="2"/>
      <c r="I167" s="54"/>
      <c r="J167" s="54"/>
      <c r="K167" s="54"/>
      <c r="L167" s="64"/>
      <c r="N167" s="2"/>
      <c r="O167" s="54"/>
      <c r="P167" s="54"/>
      <c r="Q167" s="54"/>
      <c r="R167" s="54"/>
      <c r="S167" s="64"/>
      <c r="T167" s="2"/>
      <c r="U167" s="64"/>
    </row>
    <row r="168" spans="2:21" x14ac:dyDescent="0.25">
      <c r="B168" s="2"/>
      <c r="C168" s="54"/>
      <c r="D168" s="54"/>
      <c r="E168" s="54"/>
      <c r="F168" s="64"/>
      <c r="H168" s="2"/>
      <c r="I168" s="54"/>
      <c r="J168" s="54"/>
      <c r="K168" s="54"/>
      <c r="L168" s="64"/>
      <c r="N168" s="2"/>
      <c r="O168" s="54"/>
      <c r="P168" s="54"/>
      <c r="Q168" s="54"/>
      <c r="R168" s="54"/>
      <c r="S168" s="64"/>
      <c r="T168" s="2"/>
      <c r="U168" s="64"/>
    </row>
    <row r="169" spans="2:21" x14ac:dyDescent="0.25">
      <c r="B169" s="2"/>
      <c r="C169" s="54"/>
      <c r="D169" s="54"/>
      <c r="E169" s="54"/>
      <c r="F169" s="64"/>
      <c r="H169" s="2"/>
      <c r="I169" s="54"/>
      <c r="J169" s="54"/>
      <c r="K169" s="54"/>
      <c r="L169" s="64"/>
      <c r="N169" s="2"/>
      <c r="O169" s="54"/>
      <c r="P169" s="54"/>
      <c r="Q169" s="54"/>
      <c r="R169" s="54"/>
      <c r="S169" s="64"/>
      <c r="T169" s="2"/>
      <c r="U169" s="64"/>
    </row>
    <row r="170" spans="2:21" x14ac:dyDescent="0.25">
      <c r="B170" s="2"/>
      <c r="C170" s="54"/>
      <c r="D170" s="54"/>
      <c r="E170" s="54"/>
      <c r="F170" s="64"/>
      <c r="H170" s="2"/>
      <c r="I170" s="54"/>
      <c r="J170" s="54"/>
      <c r="K170" s="54"/>
      <c r="L170" s="64"/>
      <c r="N170" s="2"/>
      <c r="O170" s="54"/>
      <c r="P170" s="54"/>
      <c r="Q170" s="54"/>
      <c r="R170" s="54"/>
      <c r="S170" s="64"/>
      <c r="T170" s="2"/>
      <c r="U170" s="64"/>
    </row>
    <row r="171" spans="2:21" x14ac:dyDescent="0.25">
      <c r="B171" s="2"/>
      <c r="C171" s="54"/>
      <c r="D171" s="54"/>
      <c r="E171" s="54"/>
      <c r="F171" s="64"/>
      <c r="H171" s="2"/>
      <c r="I171" s="54"/>
      <c r="J171" s="54"/>
      <c r="K171" s="54"/>
      <c r="L171" s="64"/>
      <c r="N171" s="2"/>
      <c r="O171" s="54"/>
      <c r="P171" s="54"/>
      <c r="Q171" s="54"/>
      <c r="R171" s="54"/>
      <c r="S171" s="64"/>
      <c r="T171" s="2"/>
      <c r="U171" s="64"/>
    </row>
    <row r="172" spans="2:21" x14ac:dyDescent="0.25">
      <c r="B172" s="2"/>
      <c r="C172" s="54"/>
      <c r="D172" s="54"/>
      <c r="E172" s="54"/>
      <c r="F172" s="64"/>
      <c r="H172" s="2"/>
      <c r="I172" s="54"/>
      <c r="J172" s="54"/>
      <c r="K172" s="54"/>
      <c r="L172" s="64"/>
      <c r="N172" s="2"/>
      <c r="O172" s="54"/>
      <c r="P172" s="54"/>
      <c r="Q172" s="54"/>
      <c r="R172" s="54"/>
      <c r="S172" s="64"/>
      <c r="T172" s="2"/>
      <c r="U172" s="64"/>
    </row>
    <row r="173" spans="2:21" x14ac:dyDescent="0.25">
      <c r="B173" s="2"/>
      <c r="C173" s="54"/>
      <c r="D173" s="54"/>
      <c r="E173" s="54"/>
      <c r="F173" s="64"/>
      <c r="H173" s="2"/>
      <c r="I173" s="54"/>
      <c r="J173" s="54"/>
      <c r="K173" s="54"/>
      <c r="L173" s="64"/>
      <c r="N173" s="2"/>
      <c r="O173" s="54"/>
      <c r="P173" s="54"/>
      <c r="Q173" s="54"/>
      <c r="R173" s="54"/>
      <c r="S173" s="64"/>
      <c r="T173" s="2"/>
      <c r="U173" s="64"/>
    </row>
    <row r="174" spans="2:21" x14ac:dyDescent="0.25">
      <c r="B174" s="2"/>
      <c r="C174" s="54"/>
      <c r="D174" s="54"/>
      <c r="E174" s="54"/>
      <c r="F174" s="64"/>
      <c r="H174" s="2"/>
      <c r="I174" s="54"/>
      <c r="J174" s="54"/>
      <c r="K174" s="54"/>
      <c r="L174" s="64"/>
      <c r="N174" s="2"/>
      <c r="O174" s="54"/>
      <c r="P174" s="54"/>
      <c r="Q174" s="54"/>
      <c r="R174" s="54"/>
      <c r="S174" s="64"/>
      <c r="T174" s="2"/>
      <c r="U174" s="64"/>
    </row>
    <row r="175" spans="2:21" x14ac:dyDescent="0.25">
      <c r="B175" s="2"/>
      <c r="C175" s="54"/>
      <c r="D175" s="54"/>
      <c r="E175" s="54"/>
      <c r="F175" s="64"/>
      <c r="H175" s="2"/>
      <c r="I175" s="54"/>
      <c r="J175" s="54"/>
      <c r="K175" s="54"/>
      <c r="L175" s="64"/>
      <c r="N175" s="2"/>
      <c r="O175" s="54"/>
      <c r="P175" s="54"/>
      <c r="Q175" s="54"/>
      <c r="R175" s="54"/>
      <c r="S175" s="64"/>
      <c r="T175" s="2"/>
      <c r="U175" s="64"/>
    </row>
    <row r="176" spans="2:21" x14ac:dyDescent="0.25">
      <c r="B176" s="2"/>
      <c r="C176" s="54"/>
      <c r="D176" s="54"/>
      <c r="E176" s="54"/>
      <c r="F176" s="64"/>
      <c r="H176" s="2"/>
      <c r="I176" s="54"/>
      <c r="J176" s="54"/>
      <c r="K176" s="54"/>
      <c r="L176" s="64"/>
      <c r="N176" s="2"/>
      <c r="O176" s="54"/>
      <c r="P176" s="54"/>
      <c r="Q176" s="54"/>
      <c r="R176" s="54"/>
      <c r="S176" s="64"/>
      <c r="T176" s="2"/>
      <c r="U176" s="64"/>
    </row>
    <row r="177" spans="2:21" x14ac:dyDescent="0.25">
      <c r="B177" s="2"/>
      <c r="C177" s="54"/>
      <c r="D177" s="54"/>
      <c r="E177" s="54"/>
      <c r="F177" s="64"/>
      <c r="H177" s="2"/>
      <c r="I177" s="54"/>
      <c r="J177" s="54"/>
      <c r="K177" s="54"/>
      <c r="L177" s="64"/>
      <c r="N177" s="2"/>
      <c r="O177" s="54"/>
      <c r="P177" s="54"/>
      <c r="Q177" s="54"/>
      <c r="R177" s="54"/>
      <c r="S177" s="64"/>
      <c r="T177" s="2"/>
      <c r="U177" s="64"/>
    </row>
    <row r="178" spans="2:21" x14ac:dyDescent="0.25">
      <c r="B178" s="2"/>
      <c r="C178" s="54"/>
      <c r="D178" s="54"/>
      <c r="E178" s="54"/>
      <c r="F178" s="64"/>
      <c r="H178" s="2"/>
      <c r="I178" s="54"/>
      <c r="J178" s="54"/>
      <c r="K178" s="54"/>
      <c r="L178" s="64"/>
      <c r="N178" s="2"/>
      <c r="O178" s="54"/>
      <c r="P178" s="54"/>
      <c r="Q178" s="54"/>
      <c r="R178" s="54"/>
      <c r="S178" s="64"/>
      <c r="T178" s="2"/>
      <c r="U178" s="64"/>
    </row>
    <row r="179" spans="2:21" x14ac:dyDescent="0.25">
      <c r="B179" s="2"/>
      <c r="C179" s="54"/>
      <c r="D179" s="54"/>
      <c r="E179" s="54"/>
      <c r="F179" s="64"/>
      <c r="H179" s="2"/>
      <c r="I179" s="54"/>
      <c r="J179" s="54"/>
      <c r="K179" s="54"/>
      <c r="L179" s="64"/>
      <c r="N179" s="2"/>
      <c r="O179" s="54"/>
      <c r="P179" s="54"/>
      <c r="Q179" s="54"/>
      <c r="R179" s="54"/>
      <c r="S179" s="64"/>
      <c r="T179" s="2"/>
      <c r="U179" s="64"/>
    </row>
    <row r="180" spans="2:21" x14ac:dyDescent="0.25">
      <c r="B180" s="2"/>
      <c r="C180" s="54"/>
      <c r="D180" s="54"/>
      <c r="E180" s="54"/>
      <c r="F180" s="64"/>
      <c r="H180" s="2"/>
      <c r="I180" s="54"/>
      <c r="J180" s="54"/>
      <c r="K180" s="54"/>
      <c r="L180" s="64"/>
      <c r="N180" s="2"/>
      <c r="O180" s="54"/>
      <c r="P180" s="54"/>
      <c r="Q180" s="54"/>
      <c r="R180" s="54"/>
      <c r="S180" s="64"/>
      <c r="T180" s="2"/>
      <c r="U180" s="64"/>
    </row>
    <row r="181" spans="2:21" x14ac:dyDescent="0.25">
      <c r="B181" s="2"/>
      <c r="C181" s="54"/>
      <c r="D181" s="54"/>
      <c r="E181" s="54"/>
      <c r="F181" s="64"/>
      <c r="H181" s="2"/>
      <c r="I181" s="54"/>
      <c r="J181" s="54"/>
      <c r="K181" s="54"/>
      <c r="L181" s="64"/>
      <c r="N181" s="2"/>
      <c r="O181" s="54"/>
      <c r="P181" s="54"/>
      <c r="Q181" s="54"/>
      <c r="R181" s="54"/>
      <c r="S181" s="64"/>
      <c r="T181" s="2"/>
      <c r="U181" s="64"/>
    </row>
    <row r="182" spans="2:21" x14ac:dyDescent="0.25">
      <c r="B182" s="2"/>
      <c r="C182" s="54"/>
      <c r="D182" s="54"/>
      <c r="E182" s="54"/>
      <c r="F182" s="64"/>
      <c r="H182" s="2"/>
      <c r="I182" s="54"/>
      <c r="J182" s="54"/>
      <c r="K182" s="54"/>
      <c r="L182" s="64"/>
      <c r="N182" s="2"/>
      <c r="O182" s="54"/>
      <c r="P182" s="54"/>
      <c r="Q182" s="54"/>
      <c r="R182" s="54"/>
      <c r="S182" s="64"/>
      <c r="T182" s="2"/>
      <c r="U182" s="64"/>
    </row>
    <row r="183" spans="2:21" x14ac:dyDescent="0.25">
      <c r="B183" s="2"/>
      <c r="C183" s="54"/>
      <c r="D183" s="54"/>
      <c r="E183" s="54"/>
      <c r="F183" s="64"/>
      <c r="H183" s="2"/>
      <c r="I183" s="54"/>
      <c r="J183" s="54"/>
      <c r="K183" s="54"/>
      <c r="L183" s="64"/>
      <c r="N183" s="2"/>
      <c r="O183" s="54"/>
      <c r="P183" s="54"/>
      <c r="Q183" s="54"/>
      <c r="R183" s="54"/>
      <c r="S183" s="64"/>
      <c r="T183" s="2"/>
      <c r="U183" s="64"/>
    </row>
    <row r="184" spans="2:21" x14ac:dyDescent="0.25">
      <c r="B184" s="2"/>
      <c r="C184" s="54"/>
      <c r="D184" s="54"/>
      <c r="E184" s="54"/>
      <c r="F184" s="64"/>
      <c r="H184" s="2"/>
      <c r="I184" s="54"/>
      <c r="J184" s="54"/>
      <c r="K184" s="54"/>
      <c r="L184" s="64"/>
      <c r="N184" s="2"/>
      <c r="O184" s="54"/>
      <c r="P184" s="54"/>
      <c r="Q184" s="54"/>
      <c r="R184" s="54"/>
      <c r="S184" s="64"/>
      <c r="T184" s="2"/>
      <c r="U184" s="64"/>
    </row>
    <row r="185" spans="2:21" x14ac:dyDescent="0.25">
      <c r="B185" s="2"/>
      <c r="C185" s="54"/>
      <c r="D185" s="54"/>
      <c r="E185" s="54"/>
      <c r="F185" s="64"/>
      <c r="H185" s="2"/>
      <c r="I185" s="54"/>
      <c r="J185" s="54"/>
      <c r="K185" s="54"/>
      <c r="L185" s="64"/>
      <c r="N185" s="2"/>
      <c r="O185" s="54"/>
      <c r="P185" s="54"/>
      <c r="Q185" s="54"/>
      <c r="R185" s="54"/>
      <c r="S185" s="64"/>
      <c r="T185" s="2"/>
      <c r="U185" s="64"/>
    </row>
    <row r="186" spans="2:21" x14ac:dyDescent="0.25">
      <c r="B186" s="2"/>
      <c r="C186" s="54"/>
      <c r="D186" s="54"/>
      <c r="E186" s="54"/>
      <c r="F186" s="64"/>
      <c r="H186" s="2"/>
      <c r="I186" s="54"/>
      <c r="J186" s="54"/>
      <c r="K186" s="54"/>
      <c r="L186" s="64"/>
      <c r="N186" s="2"/>
      <c r="O186" s="54"/>
      <c r="P186" s="54"/>
      <c r="Q186" s="54"/>
      <c r="R186" s="54"/>
      <c r="S186" s="64"/>
      <c r="T186" s="2"/>
      <c r="U186" s="64"/>
    </row>
    <row r="187" spans="2:21" x14ac:dyDescent="0.25">
      <c r="B187" s="2"/>
      <c r="C187" s="54"/>
      <c r="D187" s="54"/>
      <c r="E187" s="54"/>
      <c r="F187" s="64"/>
      <c r="H187" s="2"/>
      <c r="I187" s="54"/>
      <c r="J187" s="54"/>
      <c r="K187" s="54"/>
      <c r="L187" s="64"/>
      <c r="N187" s="2"/>
      <c r="O187" s="54"/>
      <c r="P187" s="54"/>
      <c r="Q187" s="54"/>
      <c r="R187" s="54"/>
      <c r="S187" s="64"/>
      <c r="T187" s="2"/>
      <c r="U187" s="64"/>
    </row>
    <row r="188" spans="2:21" ht="13.8" thickBot="1" x14ac:dyDescent="0.3">
      <c r="B188" s="84"/>
      <c r="C188" s="83"/>
      <c r="D188" s="83"/>
      <c r="E188" s="83"/>
      <c r="F188" s="82"/>
      <c r="H188" s="84"/>
      <c r="I188" s="83"/>
      <c r="J188" s="83"/>
      <c r="K188" s="83"/>
      <c r="L188" s="82"/>
      <c r="N188" s="84"/>
      <c r="O188" s="83"/>
      <c r="P188" s="83"/>
      <c r="Q188" s="83"/>
      <c r="R188" s="83"/>
      <c r="S188" s="82"/>
      <c r="T188" s="10"/>
      <c r="U188" s="67"/>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X272"/>
  <sheetViews>
    <sheetView topLeftCell="Q1" workbookViewId="0">
      <selection activeCell="Q8" sqref="Q8"/>
    </sheetView>
  </sheetViews>
  <sheetFormatPr defaultRowHeight="13.2" x14ac:dyDescent="0.25"/>
  <cols>
    <col min="17" max="17" width="12.88671875" bestFit="1" customWidth="1"/>
    <col min="18" max="18" width="10.5546875" bestFit="1" customWidth="1"/>
  </cols>
  <sheetData>
    <row r="1" spans="3:50" x14ac:dyDescent="0.25">
      <c r="Q1" s="14" t="s">
        <v>354</v>
      </c>
      <c r="S1" t="s">
        <v>288</v>
      </c>
    </row>
    <row r="2" spans="3:50" x14ac:dyDescent="0.25">
      <c r="S2" s="146">
        <v>0</v>
      </c>
      <c r="T2" s="146">
        <v>0.54861937440778163</v>
      </c>
      <c r="U2" s="146">
        <v>1.2215284824543391</v>
      </c>
      <c r="V2" s="146">
        <v>1.8944375905008966</v>
      </c>
      <c r="W2" s="146">
        <v>2.5673466985474538</v>
      </c>
      <c r="X2" s="146">
        <v>3.240255806594011</v>
      </c>
      <c r="Y2" s="146">
        <v>3.9131649146405678</v>
      </c>
      <c r="Z2" s="146">
        <v>4.5860740226871259</v>
      </c>
      <c r="AA2" s="146">
        <v>5.2589831307336823</v>
      </c>
      <c r="AB2" s="146">
        <v>5.9298016445403494</v>
      </c>
      <c r="AC2" s="146">
        <v>6.5910900552124971</v>
      </c>
      <c r="AD2" s="146">
        <v>7.2421904817248244</v>
      </c>
      <c r="AE2" s="146">
        <v>7.8831029240773267</v>
      </c>
      <c r="AF2" s="146">
        <v>8.5138273822700103</v>
      </c>
      <c r="AG2" s="146">
        <v>9.1343638563028691</v>
      </c>
      <c r="AH2" s="146">
        <v>9.7447123461759038</v>
      </c>
      <c r="AI2" s="146">
        <v>10.344872851889122</v>
      </c>
      <c r="AJ2" s="146">
        <v>10.934884056391423</v>
      </c>
      <c r="AK2" s="146">
        <v>11.516198138590029</v>
      </c>
      <c r="AL2" s="146">
        <v>12.089552858163778</v>
      </c>
      <c r="AM2" s="146">
        <v>12.654948215112661</v>
      </c>
      <c r="AN2" s="146">
        <v>13.212384209436692</v>
      </c>
      <c r="AO2" s="146">
        <v>13.761860841135855</v>
      </c>
      <c r="AP2" s="146">
        <v>14.303378110210154</v>
      </c>
      <c r="AQ2" s="146">
        <v>14.836936016659598</v>
      </c>
      <c r="AR2" s="146">
        <v>15.362534560484178</v>
      </c>
      <c r="AS2" s="146">
        <v>15.880173741683901</v>
      </c>
      <c r="AT2" s="146">
        <v>16.389853560258761</v>
      </c>
      <c r="AU2" s="146">
        <v>16.891574016208757</v>
      </c>
      <c r="AV2" s="146">
        <v>17.385335109533898</v>
      </c>
      <c r="AW2" s="146">
        <v>17.871136840234175</v>
      </c>
      <c r="AX2" s="146"/>
    </row>
    <row r="3" spans="3:50" x14ac:dyDescent="0.25">
      <c r="Q3" t="s">
        <v>287</v>
      </c>
      <c r="R3" s="141">
        <v>0</v>
      </c>
      <c r="S3" s="144">
        <v>0</v>
      </c>
      <c r="T3" s="144">
        <v>0</v>
      </c>
      <c r="U3" s="144">
        <v>0</v>
      </c>
      <c r="V3" s="144">
        <v>0</v>
      </c>
      <c r="W3" s="144">
        <v>0</v>
      </c>
      <c r="X3" s="144">
        <v>0</v>
      </c>
      <c r="Y3" s="144">
        <v>0</v>
      </c>
      <c r="Z3" s="144">
        <v>0</v>
      </c>
      <c r="AA3" s="144">
        <v>0</v>
      </c>
      <c r="AB3" s="144">
        <v>0</v>
      </c>
      <c r="AC3" s="144">
        <v>0</v>
      </c>
      <c r="AD3" s="144">
        <v>0</v>
      </c>
      <c r="AE3" s="144">
        <v>0</v>
      </c>
      <c r="AF3" s="144">
        <v>0</v>
      </c>
      <c r="AG3" s="144">
        <v>0</v>
      </c>
      <c r="AH3" s="144">
        <v>0</v>
      </c>
      <c r="AI3" s="144">
        <v>0</v>
      </c>
      <c r="AJ3" s="144">
        <v>0</v>
      </c>
      <c r="AK3" s="144">
        <v>0</v>
      </c>
      <c r="AL3" s="144">
        <v>0</v>
      </c>
      <c r="AM3" s="144">
        <v>0</v>
      </c>
      <c r="AN3" s="144">
        <v>0</v>
      </c>
      <c r="AO3" s="144">
        <v>0</v>
      </c>
      <c r="AP3" s="144">
        <v>0</v>
      </c>
      <c r="AQ3" s="144">
        <v>0</v>
      </c>
      <c r="AR3" s="144">
        <v>0</v>
      </c>
      <c r="AS3" s="144">
        <v>0</v>
      </c>
      <c r="AT3" s="144">
        <v>0</v>
      </c>
      <c r="AU3" s="144">
        <v>0</v>
      </c>
      <c r="AV3" s="144">
        <v>0</v>
      </c>
      <c r="AW3" s="144">
        <v>0</v>
      </c>
      <c r="AX3" s="143"/>
    </row>
    <row r="4" spans="3:50" x14ac:dyDescent="0.25">
      <c r="R4" s="141">
        <v>56.915823303265803</v>
      </c>
      <c r="S4" s="144">
        <v>0</v>
      </c>
      <c r="T4" s="144">
        <v>0</v>
      </c>
      <c r="U4" s="144">
        <v>0</v>
      </c>
      <c r="V4" s="144">
        <v>0</v>
      </c>
      <c r="W4" s="144">
        <v>0</v>
      </c>
      <c r="X4" s="144">
        <v>0</v>
      </c>
      <c r="Y4" s="144">
        <v>0</v>
      </c>
      <c r="Z4" s="144">
        <v>0</v>
      </c>
      <c r="AA4" s="144">
        <v>0</v>
      </c>
      <c r="AB4" s="144">
        <v>0</v>
      </c>
      <c r="AC4" s="144">
        <v>0</v>
      </c>
      <c r="AD4" s="144">
        <v>0</v>
      </c>
      <c r="AE4" s="144">
        <v>0</v>
      </c>
      <c r="AF4" s="144">
        <v>0</v>
      </c>
      <c r="AG4" s="144">
        <v>0</v>
      </c>
      <c r="AH4" s="144">
        <v>0</v>
      </c>
      <c r="AI4" s="144">
        <v>0</v>
      </c>
      <c r="AJ4" s="144">
        <v>0</v>
      </c>
      <c r="AK4" s="144">
        <v>0</v>
      </c>
      <c r="AL4" s="144">
        <v>0</v>
      </c>
      <c r="AM4" s="144">
        <v>0</v>
      </c>
      <c r="AN4" s="144">
        <v>0</v>
      </c>
      <c r="AO4" s="144">
        <v>0</v>
      </c>
      <c r="AP4" s="144">
        <v>0</v>
      </c>
      <c r="AQ4" s="144">
        <v>0</v>
      </c>
      <c r="AR4" s="144">
        <v>0</v>
      </c>
      <c r="AS4" s="144">
        <v>0</v>
      </c>
      <c r="AT4" s="144">
        <v>0</v>
      </c>
      <c r="AU4" s="144">
        <v>0</v>
      </c>
      <c r="AV4" s="144">
        <v>0</v>
      </c>
      <c r="AW4" s="144">
        <v>0</v>
      </c>
      <c r="AX4" s="143"/>
    </row>
    <row r="5" spans="3:50" x14ac:dyDescent="0.25">
      <c r="C5" t="s">
        <v>286</v>
      </c>
      <c r="R5" s="141">
        <v>113.83164660653161</v>
      </c>
      <c r="S5" s="144">
        <v>0</v>
      </c>
      <c r="T5" s="144">
        <v>0</v>
      </c>
      <c r="U5" s="144">
        <v>0</v>
      </c>
      <c r="V5" s="144">
        <v>0</v>
      </c>
      <c r="W5" s="144">
        <v>0</v>
      </c>
      <c r="X5" s="144">
        <v>0</v>
      </c>
      <c r="Y5" s="144">
        <v>0</v>
      </c>
      <c r="Z5" s="144">
        <v>0</v>
      </c>
      <c r="AA5" s="144">
        <v>0</v>
      </c>
      <c r="AB5" s="144">
        <v>0</v>
      </c>
      <c r="AC5" s="144">
        <v>0</v>
      </c>
      <c r="AD5" s="144">
        <v>0</v>
      </c>
      <c r="AE5" s="144">
        <v>0</v>
      </c>
      <c r="AF5" s="144">
        <v>0</v>
      </c>
      <c r="AG5" s="144">
        <v>0</v>
      </c>
      <c r="AH5" s="144">
        <v>0</v>
      </c>
      <c r="AI5" s="144">
        <v>0</v>
      </c>
      <c r="AJ5" s="144">
        <v>0</v>
      </c>
      <c r="AK5" s="144">
        <v>0</v>
      </c>
      <c r="AL5" s="144">
        <v>0</v>
      </c>
      <c r="AM5" s="144">
        <v>0</v>
      </c>
      <c r="AN5" s="144">
        <v>0</v>
      </c>
      <c r="AO5" s="144">
        <v>0</v>
      </c>
      <c r="AP5" s="144">
        <v>0</v>
      </c>
      <c r="AQ5" s="144">
        <v>0</v>
      </c>
      <c r="AR5" s="144">
        <v>0</v>
      </c>
      <c r="AS5" s="144">
        <v>0</v>
      </c>
      <c r="AT5" s="144">
        <v>0</v>
      </c>
      <c r="AU5" s="144">
        <v>0</v>
      </c>
      <c r="AV5" s="144">
        <v>0</v>
      </c>
      <c r="AW5" s="144">
        <v>0</v>
      </c>
      <c r="AX5" s="143"/>
    </row>
    <row r="6" spans="3:50" x14ac:dyDescent="0.25">
      <c r="C6" t="s">
        <v>285</v>
      </c>
      <c r="R6" s="141">
        <v>170.74746990979745</v>
      </c>
      <c r="S6" s="144">
        <v>0</v>
      </c>
      <c r="T6" s="144">
        <v>0</v>
      </c>
      <c r="U6" s="144">
        <v>0</v>
      </c>
      <c r="V6" s="144">
        <v>0</v>
      </c>
      <c r="W6" s="144">
        <v>0</v>
      </c>
      <c r="X6" s="144">
        <v>0</v>
      </c>
      <c r="Y6" s="144">
        <v>0</v>
      </c>
      <c r="Z6" s="144">
        <v>0</v>
      </c>
      <c r="AA6" s="144">
        <v>0</v>
      </c>
      <c r="AB6" s="144">
        <v>0</v>
      </c>
      <c r="AC6" s="144">
        <v>0</v>
      </c>
      <c r="AD6" s="144">
        <v>0</v>
      </c>
      <c r="AE6" s="144">
        <v>0</v>
      </c>
      <c r="AF6" s="144">
        <v>0</v>
      </c>
      <c r="AG6" s="144">
        <v>0</v>
      </c>
      <c r="AH6" s="144">
        <v>0</v>
      </c>
      <c r="AI6" s="144">
        <v>0</v>
      </c>
      <c r="AJ6" s="144">
        <v>0</v>
      </c>
      <c r="AK6" s="144">
        <v>0</v>
      </c>
      <c r="AL6" s="144">
        <v>0</v>
      </c>
      <c r="AM6" s="144">
        <v>0</v>
      </c>
      <c r="AN6" s="144">
        <v>0</v>
      </c>
      <c r="AO6" s="144">
        <v>0</v>
      </c>
      <c r="AP6" s="144">
        <v>0</v>
      </c>
      <c r="AQ6" s="144">
        <v>0</v>
      </c>
      <c r="AR6" s="144">
        <v>0</v>
      </c>
      <c r="AS6" s="144">
        <v>0</v>
      </c>
      <c r="AT6" s="144">
        <v>0</v>
      </c>
      <c r="AU6" s="144">
        <v>0</v>
      </c>
      <c r="AV6" s="144">
        <v>0</v>
      </c>
      <c r="AW6" s="144">
        <v>0</v>
      </c>
      <c r="AX6" s="143"/>
    </row>
    <row r="7" spans="3:50" x14ac:dyDescent="0.25">
      <c r="C7" t="s">
        <v>284</v>
      </c>
      <c r="R7" s="141">
        <v>227.66329321306321</v>
      </c>
      <c r="S7" s="144">
        <v>0</v>
      </c>
      <c r="T7" s="144">
        <v>0</v>
      </c>
      <c r="U7" s="144">
        <v>0</v>
      </c>
      <c r="V7" s="144">
        <v>0</v>
      </c>
      <c r="W7" s="144">
        <v>0</v>
      </c>
      <c r="X7" s="144">
        <v>0</v>
      </c>
      <c r="Y7" s="144">
        <v>0</v>
      </c>
      <c r="Z7" s="144">
        <v>0</v>
      </c>
      <c r="AA7" s="144">
        <v>0</v>
      </c>
      <c r="AB7" s="144">
        <v>0</v>
      </c>
      <c r="AC7" s="144">
        <v>0</v>
      </c>
      <c r="AD7" s="144">
        <v>0</v>
      </c>
      <c r="AE7" s="144">
        <v>0</v>
      </c>
      <c r="AF7" s="144">
        <v>0</v>
      </c>
      <c r="AG7" s="144">
        <v>0</v>
      </c>
      <c r="AH7" s="144">
        <v>0</v>
      </c>
      <c r="AI7" s="144">
        <v>0</v>
      </c>
      <c r="AJ7" s="144">
        <v>0</v>
      </c>
      <c r="AK7" s="144">
        <v>0</v>
      </c>
      <c r="AL7" s="144">
        <v>0</v>
      </c>
      <c r="AM7" s="144">
        <v>0</v>
      </c>
      <c r="AN7" s="144">
        <v>0</v>
      </c>
      <c r="AO7" s="144">
        <v>0</v>
      </c>
      <c r="AP7" s="144">
        <v>0</v>
      </c>
      <c r="AQ7" s="144">
        <v>0</v>
      </c>
      <c r="AR7" s="144">
        <v>0</v>
      </c>
      <c r="AS7" s="144">
        <v>0</v>
      </c>
      <c r="AT7" s="144">
        <v>0</v>
      </c>
      <c r="AU7" s="144">
        <v>0</v>
      </c>
      <c r="AV7" s="144">
        <v>0</v>
      </c>
      <c r="AW7" s="144">
        <v>0</v>
      </c>
      <c r="AX7" s="143"/>
    </row>
    <row r="8" spans="3:50" x14ac:dyDescent="0.25">
      <c r="R8" s="141">
        <v>284.57911651632901</v>
      </c>
      <c r="S8" s="144">
        <v>0</v>
      </c>
      <c r="T8" s="144">
        <v>0</v>
      </c>
      <c r="U8" s="144">
        <v>0</v>
      </c>
      <c r="V8" s="144">
        <v>0</v>
      </c>
      <c r="W8" s="144">
        <v>0</v>
      </c>
      <c r="X8" s="144">
        <v>0</v>
      </c>
      <c r="Y8" s="144">
        <v>0</v>
      </c>
      <c r="Z8" s="144">
        <v>0</v>
      </c>
      <c r="AA8" s="144">
        <v>0</v>
      </c>
      <c r="AB8" s="144">
        <v>0</v>
      </c>
      <c r="AC8" s="144">
        <v>0</v>
      </c>
      <c r="AD8" s="144">
        <v>0</v>
      </c>
      <c r="AE8" s="144">
        <v>0</v>
      </c>
      <c r="AF8" s="144">
        <v>0</v>
      </c>
      <c r="AG8" s="144">
        <v>0</v>
      </c>
      <c r="AH8" s="144">
        <v>0</v>
      </c>
      <c r="AI8" s="144">
        <v>0</v>
      </c>
      <c r="AJ8" s="144">
        <v>0</v>
      </c>
      <c r="AK8" s="144">
        <v>0</v>
      </c>
      <c r="AL8" s="144">
        <v>0</v>
      </c>
      <c r="AM8" s="144">
        <v>0</v>
      </c>
      <c r="AN8" s="144">
        <v>0</v>
      </c>
      <c r="AO8" s="144">
        <v>0</v>
      </c>
      <c r="AP8" s="144">
        <v>0</v>
      </c>
      <c r="AQ8" s="144">
        <v>0</v>
      </c>
      <c r="AR8" s="144">
        <v>0</v>
      </c>
      <c r="AS8" s="144">
        <v>0</v>
      </c>
      <c r="AT8" s="144">
        <v>0</v>
      </c>
      <c r="AU8" s="144">
        <v>0</v>
      </c>
      <c r="AV8" s="144">
        <v>0</v>
      </c>
      <c r="AW8" s="144">
        <v>0</v>
      </c>
      <c r="AX8" s="143"/>
    </row>
    <row r="9" spans="3:50" x14ac:dyDescent="0.25">
      <c r="R9" s="141">
        <v>341.49493981959489</v>
      </c>
      <c r="S9" s="144">
        <v>0</v>
      </c>
      <c r="T9" s="144">
        <v>0</v>
      </c>
      <c r="U9" s="144">
        <v>0</v>
      </c>
      <c r="V9" s="144">
        <v>0</v>
      </c>
      <c r="W9" s="144">
        <v>0</v>
      </c>
      <c r="X9" s="144">
        <v>0</v>
      </c>
      <c r="Y9" s="144">
        <v>0</v>
      </c>
      <c r="Z9" s="144">
        <v>0</v>
      </c>
      <c r="AA9" s="144">
        <v>0</v>
      </c>
      <c r="AB9" s="144">
        <v>0</v>
      </c>
      <c r="AC9" s="144">
        <v>0</v>
      </c>
      <c r="AD9" s="144">
        <v>0</v>
      </c>
      <c r="AE9" s="144">
        <v>0</v>
      </c>
      <c r="AF9" s="144">
        <v>0</v>
      </c>
      <c r="AG9" s="144">
        <v>0</v>
      </c>
      <c r="AH9" s="144">
        <v>0</v>
      </c>
      <c r="AI9" s="144">
        <v>0</v>
      </c>
      <c r="AJ9" s="144">
        <v>0</v>
      </c>
      <c r="AK9" s="144">
        <v>0</v>
      </c>
      <c r="AL9" s="144">
        <v>0</v>
      </c>
      <c r="AM9" s="144">
        <v>0</v>
      </c>
      <c r="AN9" s="144">
        <v>0</v>
      </c>
      <c r="AO9" s="144">
        <v>0</v>
      </c>
      <c r="AP9" s="144">
        <v>0</v>
      </c>
      <c r="AQ9" s="144">
        <v>0</v>
      </c>
      <c r="AR9" s="144">
        <v>0</v>
      </c>
      <c r="AS9" s="144">
        <v>0</v>
      </c>
      <c r="AT9" s="144">
        <v>0</v>
      </c>
      <c r="AU9" s="144">
        <v>0</v>
      </c>
      <c r="AV9" s="144">
        <v>0</v>
      </c>
      <c r="AW9" s="144">
        <v>0</v>
      </c>
      <c r="AX9" s="143"/>
    </row>
    <row r="10" spans="3:50" x14ac:dyDescent="0.25">
      <c r="R10" s="141">
        <v>398.41076312286066</v>
      </c>
      <c r="S10" s="144">
        <v>0</v>
      </c>
      <c r="T10" s="144">
        <v>0</v>
      </c>
      <c r="U10" s="144">
        <v>0</v>
      </c>
      <c r="V10" s="144">
        <v>0</v>
      </c>
      <c r="W10" s="144">
        <v>0</v>
      </c>
      <c r="X10" s="144">
        <v>0</v>
      </c>
      <c r="Y10" s="144">
        <v>0</v>
      </c>
      <c r="Z10" s="144">
        <v>0</v>
      </c>
      <c r="AA10" s="144">
        <v>0</v>
      </c>
      <c r="AB10" s="144">
        <v>0</v>
      </c>
      <c r="AC10" s="144">
        <v>0</v>
      </c>
      <c r="AD10" s="144">
        <v>0</v>
      </c>
      <c r="AE10" s="144">
        <v>0</v>
      </c>
      <c r="AF10" s="144">
        <v>0</v>
      </c>
      <c r="AG10" s="144">
        <v>0</v>
      </c>
      <c r="AH10" s="144">
        <v>0</v>
      </c>
      <c r="AI10" s="144">
        <v>0</v>
      </c>
      <c r="AJ10" s="144">
        <v>0</v>
      </c>
      <c r="AK10" s="144">
        <v>0</v>
      </c>
      <c r="AL10" s="144">
        <v>0</v>
      </c>
      <c r="AM10" s="144">
        <v>0</v>
      </c>
      <c r="AN10" s="144">
        <v>0</v>
      </c>
      <c r="AO10" s="144">
        <v>0</v>
      </c>
      <c r="AP10" s="144">
        <v>0</v>
      </c>
      <c r="AQ10" s="144">
        <v>0</v>
      </c>
      <c r="AR10" s="144">
        <v>0</v>
      </c>
      <c r="AS10" s="144">
        <v>0</v>
      </c>
      <c r="AT10" s="144">
        <v>0</v>
      </c>
      <c r="AU10" s="144">
        <v>0</v>
      </c>
      <c r="AV10" s="144">
        <v>0</v>
      </c>
      <c r="AW10" s="144">
        <v>0</v>
      </c>
      <c r="AX10" s="143"/>
    </row>
    <row r="11" spans="3:50" x14ac:dyDescent="0.25">
      <c r="R11" s="141">
        <v>455.32658642612643</v>
      </c>
      <c r="S11" s="144">
        <v>0</v>
      </c>
      <c r="T11" s="144">
        <v>0</v>
      </c>
      <c r="U11" s="144">
        <v>0</v>
      </c>
      <c r="V11" s="144">
        <v>0</v>
      </c>
      <c r="W11" s="144">
        <v>0</v>
      </c>
      <c r="X11" s="144">
        <v>0</v>
      </c>
      <c r="Y11" s="144">
        <v>0</v>
      </c>
      <c r="Z11" s="144">
        <v>0</v>
      </c>
      <c r="AA11" s="144">
        <v>0</v>
      </c>
      <c r="AB11" s="144">
        <v>0</v>
      </c>
      <c r="AC11" s="144">
        <v>0</v>
      </c>
      <c r="AD11" s="144">
        <v>0</v>
      </c>
      <c r="AE11" s="144">
        <v>0</v>
      </c>
      <c r="AF11" s="144">
        <v>0</v>
      </c>
      <c r="AG11" s="144">
        <v>0</v>
      </c>
      <c r="AH11" s="144">
        <v>0</v>
      </c>
      <c r="AI11" s="144">
        <v>0</v>
      </c>
      <c r="AJ11" s="144">
        <v>0</v>
      </c>
      <c r="AK11" s="144">
        <v>0</v>
      </c>
      <c r="AL11" s="144">
        <v>0</v>
      </c>
      <c r="AM11" s="144">
        <v>0</v>
      </c>
      <c r="AN11" s="144">
        <v>0</v>
      </c>
      <c r="AO11" s="144">
        <v>0</v>
      </c>
      <c r="AP11" s="144">
        <v>0</v>
      </c>
      <c r="AQ11" s="144">
        <v>0</v>
      </c>
      <c r="AR11" s="144">
        <v>0</v>
      </c>
      <c r="AS11" s="144">
        <v>0</v>
      </c>
      <c r="AT11" s="144">
        <v>0</v>
      </c>
      <c r="AU11" s="144">
        <v>0</v>
      </c>
      <c r="AV11" s="144">
        <v>0</v>
      </c>
      <c r="AW11" s="144">
        <v>0</v>
      </c>
      <c r="AX11" s="143"/>
    </row>
    <row r="12" spans="3:50" x14ac:dyDescent="0.25">
      <c r="R12" s="141">
        <v>512.24240972939231</v>
      </c>
      <c r="S12" s="144">
        <v>0</v>
      </c>
      <c r="T12" s="144">
        <v>0</v>
      </c>
      <c r="U12" s="144">
        <v>0</v>
      </c>
      <c r="V12" s="144">
        <v>0</v>
      </c>
      <c r="W12" s="144">
        <v>0</v>
      </c>
      <c r="X12" s="144">
        <v>0</v>
      </c>
      <c r="Y12" s="144">
        <v>0</v>
      </c>
      <c r="Z12" s="144">
        <v>0</v>
      </c>
      <c r="AA12" s="144">
        <v>0</v>
      </c>
      <c r="AB12" s="144">
        <v>0</v>
      </c>
      <c r="AC12" s="144">
        <v>0</v>
      </c>
      <c r="AD12" s="144">
        <v>0</v>
      </c>
      <c r="AE12" s="144">
        <v>0</v>
      </c>
      <c r="AF12" s="144">
        <v>0</v>
      </c>
      <c r="AG12" s="144">
        <v>0</v>
      </c>
      <c r="AH12" s="144">
        <v>0</v>
      </c>
      <c r="AI12" s="144">
        <v>0</v>
      </c>
      <c r="AJ12" s="144">
        <v>0</v>
      </c>
      <c r="AK12" s="144">
        <v>0</v>
      </c>
      <c r="AL12" s="144">
        <v>0</v>
      </c>
      <c r="AM12" s="144">
        <v>0</v>
      </c>
      <c r="AN12" s="144">
        <v>0</v>
      </c>
      <c r="AO12" s="144">
        <v>0</v>
      </c>
      <c r="AP12" s="144">
        <v>0</v>
      </c>
      <c r="AQ12" s="144">
        <v>0</v>
      </c>
      <c r="AR12" s="144">
        <v>0</v>
      </c>
      <c r="AS12" s="144">
        <v>0</v>
      </c>
      <c r="AT12" s="144">
        <v>0</v>
      </c>
      <c r="AU12" s="144">
        <v>0</v>
      </c>
      <c r="AV12" s="144">
        <v>0</v>
      </c>
      <c r="AW12" s="144">
        <v>0</v>
      </c>
      <c r="AX12" s="143"/>
    </row>
    <row r="13" spans="3:50" x14ac:dyDescent="0.25">
      <c r="R13" s="141">
        <v>569.15823303265802</v>
      </c>
      <c r="S13" s="144">
        <v>0</v>
      </c>
      <c r="T13" s="144">
        <v>0</v>
      </c>
      <c r="U13" s="144">
        <v>0</v>
      </c>
      <c r="V13" s="144">
        <v>0</v>
      </c>
      <c r="W13" s="144">
        <v>0</v>
      </c>
      <c r="X13" s="144">
        <v>0</v>
      </c>
      <c r="Y13" s="144">
        <v>0</v>
      </c>
      <c r="Z13" s="144">
        <v>0</v>
      </c>
      <c r="AA13" s="144">
        <v>0</v>
      </c>
      <c r="AB13" s="144">
        <v>0</v>
      </c>
      <c r="AC13" s="144">
        <v>0</v>
      </c>
      <c r="AD13" s="144">
        <v>0</v>
      </c>
      <c r="AE13" s="144">
        <v>0</v>
      </c>
      <c r="AF13" s="144">
        <v>0</v>
      </c>
      <c r="AG13" s="144">
        <v>0</v>
      </c>
      <c r="AH13" s="144">
        <v>0</v>
      </c>
      <c r="AI13" s="144">
        <v>0</v>
      </c>
      <c r="AJ13" s="144">
        <v>0</v>
      </c>
      <c r="AK13" s="144">
        <v>0</v>
      </c>
      <c r="AL13" s="144">
        <v>0</v>
      </c>
      <c r="AM13" s="144">
        <v>0</v>
      </c>
      <c r="AN13" s="144">
        <v>0</v>
      </c>
      <c r="AO13" s="144">
        <v>0</v>
      </c>
      <c r="AP13" s="144">
        <v>0</v>
      </c>
      <c r="AQ13" s="144">
        <v>0</v>
      </c>
      <c r="AR13" s="144">
        <v>0</v>
      </c>
      <c r="AS13" s="144">
        <v>0</v>
      </c>
      <c r="AT13" s="144">
        <v>0</v>
      </c>
      <c r="AU13" s="144">
        <v>0</v>
      </c>
      <c r="AV13" s="144">
        <v>0</v>
      </c>
      <c r="AW13" s="144">
        <v>0</v>
      </c>
      <c r="AX13" s="143"/>
    </row>
    <row r="14" spans="3:50" x14ac:dyDescent="0.25">
      <c r="R14" s="141">
        <v>626.07405633592384</v>
      </c>
      <c r="S14" s="144">
        <v>0</v>
      </c>
      <c r="T14" s="144">
        <v>0</v>
      </c>
      <c r="U14" s="144">
        <v>0</v>
      </c>
      <c r="V14" s="144">
        <v>0</v>
      </c>
      <c r="W14" s="144">
        <v>0</v>
      </c>
      <c r="X14" s="144">
        <v>0</v>
      </c>
      <c r="Y14" s="144">
        <v>0</v>
      </c>
      <c r="Z14" s="144">
        <v>0</v>
      </c>
      <c r="AA14" s="144">
        <v>0</v>
      </c>
      <c r="AB14" s="144">
        <v>0</v>
      </c>
      <c r="AC14" s="144">
        <v>0</v>
      </c>
      <c r="AD14" s="144">
        <v>0</v>
      </c>
      <c r="AE14" s="144">
        <v>0</v>
      </c>
      <c r="AF14" s="144">
        <v>0</v>
      </c>
      <c r="AG14" s="144">
        <v>0</v>
      </c>
      <c r="AH14" s="144">
        <v>0</v>
      </c>
      <c r="AI14" s="144">
        <v>0</v>
      </c>
      <c r="AJ14" s="144">
        <v>0</v>
      </c>
      <c r="AK14" s="144">
        <v>0</v>
      </c>
      <c r="AL14" s="144">
        <v>0</v>
      </c>
      <c r="AM14" s="144">
        <v>0</v>
      </c>
      <c r="AN14" s="144">
        <v>0</v>
      </c>
      <c r="AO14" s="144">
        <v>0</v>
      </c>
      <c r="AP14" s="144">
        <v>0</v>
      </c>
      <c r="AQ14" s="144">
        <v>0</v>
      </c>
      <c r="AR14" s="144">
        <v>0</v>
      </c>
      <c r="AS14" s="144">
        <v>0</v>
      </c>
      <c r="AT14" s="144">
        <v>0</v>
      </c>
      <c r="AU14" s="144">
        <v>0</v>
      </c>
      <c r="AV14" s="144">
        <v>0</v>
      </c>
      <c r="AW14" s="144">
        <v>0</v>
      </c>
      <c r="AX14" s="143"/>
    </row>
    <row r="15" spans="3:50" x14ac:dyDescent="0.25">
      <c r="R15" s="141">
        <v>682.98987963918978</v>
      </c>
      <c r="S15" s="144">
        <v>0</v>
      </c>
      <c r="T15" s="144">
        <v>0</v>
      </c>
      <c r="U15" s="144">
        <v>0</v>
      </c>
      <c r="V15" s="144">
        <v>0</v>
      </c>
      <c r="W15" s="144">
        <v>0</v>
      </c>
      <c r="X15" s="144">
        <v>0</v>
      </c>
      <c r="Y15" s="144">
        <v>0</v>
      </c>
      <c r="Z15" s="144">
        <v>0</v>
      </c>
      <c r="AA15" s="144">
        <v>0</v>
      </c>
      <c r="AB15" s="144">
        <v>0</v>
      </c>
      <c r="AC15" s="144">
        <v>0</v>
      </c>
      <c r="AD15" s="144">
        <v>0</v>
      </c>
      <c r="AE15" s="144">
        <v>0</v>
      </c>
      <c r="AF15" s="144">
        <v>0</v>
      </c>
      <c r="AG15" s="144">
        <v>0</v>
      </c>
      <c r="AH15" s="144">
        <v>0</v>
      </c>
      <c r="AI15" s="144">
        <v>0</v>
      </c>
      <c r="AJ15" s="144">
        <v>0</v>
      </c>
      <c r="AK15" s="144">
        <v>0</v>
      </c>
      <c r="AL15" s="144">
        <v>0</v>
      </c>
      <c r="AM15" s="144">
        <v>0</v>
      </c>
      <c r="AN15" s="144">
        <v>0</v>
      </c>
      <c r="AO15" s="144">
        <v>0</v>
      </c>
      <c r="AP15" s="144">
        <v>0</v>
      </c>
      <c r="AQ15" s="144">
        <v>0</v>
      </c>
      <c r="AR15" s="144">
        <v>0</v>
      </c>
      <c r="AS15" s="144">
        <v>0</v>
      </c>
      <c r="AT15" s="144">
        <v>0</v>
      </c>
      <c r="AU15" s="144">
        <v>0</v>
      </c>
      <c r="AV15" s="144">
        <v>0</v>
      </c>
      <c r="AW15" s="144">
        <v>0</v>
      </c>
      <c r="AX15" s="143"/>
    </row>
    <row r="16" spans="3:50" x14ac:dyDescent="0.25">
      <c r="R16" s="141">
        <v>739.90570294245549</v>
      </c>
      <c r="S16" s="144">
        <v>0</v>
      </c>
      <c r="T16" s="144">
        <v>0</v>
      </c>
      <c r="U16" s="144">
        <v>0</v>
      </c>
      <c r="V16" s="144">
        <v>0</v>
      </c>
      <c r="W16" s="144">
        <v>0</v>
      </c>
      <c r="X16" s="144">
        <v>0</v>
      </c>
      <c r="Y16" s="144">
        <v>0</v>
      </c>
      <c r="Z16" s="144">
        <v>0</v>
      </c>
      <c r="AA16" s="144">
        <v>0</v>
      </c>
      <c r="AB16" s="144">
        <v>0</v>
      </c>
      <c r="AC16" s="144">
        <v>0</v>
      </c>
      <c r="AD16" s="144">
        <v>0</v>
      </c>
      <c r="AE16" s="144">
        <v>0</v>
      </c>
      <c r="AF16" s="144">
        <v>0</v>
      </c>
      <c r="AG16" s="144">
        <v>0</v>
      </c>
      <c r="AH16" s="144">
        <v>0</v>
      </c>
      <c r="AI16" s="144">
        <v>0</v>
      </c>
      <c r="AJ16" s="144">
        <v>0</v>
      </c>
      <c r="AK16" s="144">
        <v>0</v>
      </c>
      <c r="AL16" s="144">
        <v>0</v>
      </c>
      <c r="AM16" s="144">
        <v>0</v>
      </c>
      <c r="AN16" s="144">
        <v>0</v>
      </c>
      <c r="AO16" s="144">
        <v>0</v>
      </c>
      <c r="AP16" s="144">
        <v>0</v>
      </c>
      <c r="AQ16" s="144">
        <v>0</v>
      </c>
      <c r="AR16" s="144">
        <v>0</v>
      </c>
      <c r="AS16" s="144">
        <v>0</v>
      </c>
      <c r="AT16" s="144">
        <v>0</v>
      </c>
      <c r="AU16" s="144">
        <v>0</v>
      </c>
      <c r="AV16" s="144">
        <v>0</v>
      </c>
      <c r="AW16" s="144">
        <v>0</v>
      </c>
      <c r="AX16" s="143"/>
    </row>
    <row r="17" spans="18:50" x14ac:dyDescent="0.25">
      <c r="R17" s="141">
        <v>796.82152624572132</v>
      </c>
      <c r="S17" s="144">
        <v>0</v>
      </c>
      <c r="T17" s="144">
        <v>0</v>
      </c>
      <c r="U17" s="144">
        <v>0</v>
      </c>
      <c r="V17" s="144">
        <v>0</v>
      </c>
      <c r="W17" s="144">
        <v>0</v>
      </c>
      <c r="X17" s="144">
        <v>0</v>
      </c>
      <c r="Y17" s="144">
        <v>0</v>
      </c>
      <c r="Z17" s="144">
        <v>0</v>
      </c>
      <c r="AA17" s="144">
        <v>0</v>
      </c>
      <c r="AB17" s="144">
        <v>0</v>
      </c>
      <c r="AC17" s="144">
        <v>0</v>
      </c>
      <c r="AD17" s="144">
        <v>0</v>
      </c>
      <c r="AE17" s="144">
        <v>0</v>
      </c>
      <c r="AF17" s="144">
        <v>0</v>
      </c>
      <c r="AG17" s="144">
        <v>0</v>
      </c>
      <c r="AH17" s="144">
        <v>0</v>
      </c>
      <c r="AI17" s="144">
        <v>0</v>
      </c>
      <c r="AJ17" s="144">
        <v>0</v>
      </c>
      <c r="AK17" s="144">
        <v>0</v>
      </c>
      <c r="AL17" s="144">
        <v>0</v>
      </c>
      <c r="AM17" s="144">
        <v>0</v>
      </c>
      <c r="AN17" s="144">
        <v>0</v>
      </c>
      <c r="AO17" s="144">
        <v>0</v>
      </c>
      <c r="AP17" s="144">
        <v>0</v>
      </c>
      <c r="AQ17" s="144">
        <v>0</v>
      </c>
      <c r="AR17" s="144">
        <v>0</v>
      </c>
      <c r="AS17" s="144">
        <v>0</v>
      </c>
      <c r="AT17" s="144">
        <v>0</v>
      </c>
      <c r="AU17" s="144">
        <v>0</v>
      </c>
      <c r="AV17" s="144">
        <v>0</v>
      </c>
      <c r="AW17" s="144">
        <v>0</v>
      </c>
      <c r="AX17" s="143"/>
    </row>
    <row r="18" spans="18:50" x14ac:dyDescent="0.25">
      <c r="R18" s="141">
        <v>853.73734954898703</v>
      </c>
      <c r="S18" s="144">
        <v>0</v>
      </c>
      <c r="T18" s="144">
        <v>0</v>
      </c>
      <c r="U18" s="144">
        <v>0</v>
      </c>
      <c r="V18" s="144">
        <v>0</v>
      </c>
      <c r="W18" s="144">
        <v>0</v>
      </c>
      <c r="X18" s="144">
        <v>0</v>
      </c>
      <c r="Y18" s="144">
        <v>0</v>
      </c>
      <c r="Z18" s="144">
        <v>0</v>
      </c>
      <c r="AA18" s="144">
        <v>0</v>
      </c>
      <c r="AB18" s="144">
        <v>0</v>
      </c>
      <c r="AC18" s="144">
        <v>0</v>
      </c>
      <c r="AD18" s="144">
        <v>0</v>
      </c>
      <c r="AE18" s="144">
        <v>0</v>
      </c>
      <c r="AF18" s="144">
        <v>0</v>
      </c>
      <c r="AG18" s="144">
        <v>0</v>
      </c>
      <c r="AH18" s="144">
        <v>0</v>
      </c>
      <c r="AI18" s="144">
        <v>0</v>
      </c>
      <c r="AJ18" s="144">
        <v>0</v>
      </c>
      <c r="AK18" s="144">
        <v>0</v>
      </c>
      <c r="AL18" s="144">
        <v>0</v>
      </c>
      <c r="AM18" s="144">
        <v>0</v>
      </c>
      <c r="AN18" s="144">
        <v>0</v>
      </c>
      <c r="AO18" s="144">
        <v>0</v>
      </c>
      <c r="AP18" s="144">
        <v>0</v>
      </c>
      <c r="AQ18" s="144">
        <v>0</v>
      </c>
      <c r="AR18" s="144">
        <v>0</v>
      </c>
      <c r="AS18" s="144">
        <v>0</v>
      </c>
      <c r="AT18" s="144">
        <v>0</v>
      </c>
      <c r="AU18" s="144">
        <v>0</v>
      </c>
      <c r="AV18" s="144">
        <v>0</v>
      </c>
      <c r="AW18" s="144">
        <v>0</v>
      </c>
      <c r="AX18" s="143"/>
    </row>
    <row r="19" spans="18:50" x14ac:dyDescent="0.25">
      <c r="R19" s="141">
        <v>910.65317285225285</v>
      </c>
      <c r="S19" s="144">
        <v>0</v>
      </c>
      <c r="T19" s="144">
        <v>0</v>
      </c>
      <c r="U19" s="144">
        <v>0</v>
      </c>
      <c r="V19" s="144">
        <v>0</v>
      </c>
      <c r="W19" s="144">
        <v>0</v>
      </c>
      <c r="X19" s="144">
        <v>0</v>
      </c>
      <c r="Y19" s="144">
        <v>0</v>
      </c>
      <c r="Z19" s="144">
        <v>0</v>
      </c>
      <c r="AA19" s="144">
        <v>0</v>
      </c>
      <c r="AB19" s="144">
        <v>0</v>
      </c>
      <c r="AC19" s="144">
        <v>0</v>
      </c>
      <c r="AD19" s="144">
        <v>0</v>
      </c>
      <c r="AE19" s="144">
        <v>0</v>
      </c>
      <c r="AF19" s="144">
        <v>0</v>
      </c>
      <c r="AG19" s="144">
        <v>0</v>
      </c>
      <c r="AH19" s="144">
        <v>0</v>
      </c>
      <c r="AI19" s="144">
        <v>0</v>
      </c>
      <c r="AJ19" s="144">
        <v>0</v>
      </c>
      <c r="AK19" s="144">
        <v>0</v>
      </c>
      <c r="AL19" s="144">
        <v>0</v>
      </c>
      <c r="AM19" s="144">
        <v>0</v>
      </c>
      <c r="AN19" s="144">
        <v>0</v>
      </c>
      <c r="AO19" s="144">
        <v>0</v>
      </c>
      <c r="AP19" s="144">
        <v>0</v>
      </c>
      <c r="AQ19" s="144">
        <v>0</v>
      </c>
      <c r="AR19" s="144">
        <v>0</v>
      </c>
      <c r="AS19" s="144">
        <v>0</v>
      </c>
      <c r="AT19" s="144">
        <v>0</v>
      </c>
      <c r="AU19" s="144">
        <v>0</v>
      </c>
      <c r="AV19" s="144">
        <v>0</v>
      </c>
      <c r="AW19" s="144">
        <v>0</v>
      </c>
      <c r="AX19" s="143"/>
    </row>
    <row r="20" spans="18:50" x14ac:dyDescent="0.25">
      <c r="R20" s="141">
        <v>967.56899615551868</v>
      </c>
      <c r="S20" s="144">
        <v>0</v>
      </c>
      <c r="T20" s="144">
        <v>0</v>
      </c>
      <c r="U20" s="144">
        <v>0</v>
      </c>
      <c r="V20" s="144">
        <v>0</v>
      </c>
      <c r="W20" s="144">
        <v>0</v>
      </c>
      <c r="X20" s="144">
        <v>0</v>
      </c>
      <c r="Y20" s="144">
        <v>0</v>
      </c>
      <c r="Z20" s="144">
        <v>0</v>
      </c>
      <c r="AA20" s="144">
        <v>0</v>
      </c>
      <c r="AB20" s="144">
        <v>0</v>
      </c>
      <c r="AC20" s="144">
        <v>0</v>
      </c>
      <c r="AD20" s="144">
        <v>0</v>
      </c>
      <c r="AE20" s="144">
        <v>0</v>
      </c>
      <c r="AF20" s="144">
        <v>0</v>
      </c>
      <c r="AG20" s="144">
        <v>0</v>
      </c>
      <c r="AH20" s="144">
        <v>0</v>
      </c>
      <c r="AI20" s="144">
        <v>0</v>
      </c>
      <c r="AJ20" s="144">
        <v>0</v>
      </c>
      <c r="AK20" s="144">
        <v>0</v>
      </c>
      <c r="AL20" s="144">
        <v>0</v>
      </c>
      <c r="AM20" s="144">
        <v>0</v>
      </c>
      <c r="AN20" s="144">
        <v>0</v>
      </c>
      <c r="AO20" s="144">
        <v>0</v>
      </c>
      <c r="AP20" s="144">
        <v>0</v>
      </c>
      <c r="AQ20" s="144">
        <v>0</v>
      </c>
      <c r="AR20" s="144">
        <v>0</v>
      </c>
      <c r="AS20" s="144">
        <v>0</v>
      </c>
      <c r="AT20" s="144">
        <v>0</v>
      </c>
      <c r="AU20" s="144">
        <v>0</v>
      </c>
      <c r="AV20" s="144">
        <v>0</v>
      </c>
      <c r="AW20" s="144">
        <v>0</v>
      </c>
      <c r="AX20" s="143"/>
    </row>
    <row r="21" spans="18:50" x14ac:dyDescent="0.25">
      <c r="R21" s="141">
        <v>1024.4848194587846</v>
      </c>
      <c r="S21" s="144">
        <v>0</v>
      </c>
      <c r="T21" s="144">
        <v>0</v>
      </c>
      <c r="U21" s="144">
        <v>0</v>
      </c>
      <c r="V21" s="144">
        <v>0</v>
      </c>
      <c r="W21" s="144">
        <v>0</v>
      </c>
      <c r="X21" s="144">
        <v>0</v>
      </c>
      <c r="Y21" s="144">
        <v>0</v>
      </c>
      <c r="Z21" s="144">
        <v>0</v>
      </c>
      <c r="AA21" s="144">
        <v>0</v>
      </c>
      <c r="AB21" s="144">
        <v>0</v>
      </c>
      <c r="AC21" s="144">
        <v>0</v>
      </c>
      <c r="AD21" s="144">
        <v>0</v>
      </c>
      <c r="AE21" s="144">
        <v>0</v>
      </c>
      <c r="AF21" s="144">
        <v>0</v>
      </c>
      <c r="AG21" s="144">
        <v>0</v>
      </c>
      <c r="AH21" s="144">
        <v>0</v>
      </c>
      <c r="AI21" s="144">
        <v>0</v>
      </c>
      <c r="AJ21" s="144">
        <v>0</v>
      </c>
      <c r="AK21" s="144">
        <v>0</v>
      </c>
      <c r="AL21" s="144">
        <v>0</v>
      </c>
      <c r="AM21" s="144">
        <v>0</v>
      </c>
      <c r="AN21" s="144">
        <v>0</v>
      </c>
      <c r="AO21" s="144">
        <v>0</v>
      </c>
      <c r="AP21" s="144">
        <v>0</v>
      </c>
      <c r="AQ21" s="144">
        <v>0</v>
      </c>
      <c r="AR21" s="144">
        <v>0</v>
      </c>
      <c r="AS21" s="144">
        <v>0</v>
      </c>
      <c r="AT21" s="144">
        <v>0</v>
      </c>
      <c r="AU21" s="144">
        <v>0</v>
      </c>
      <c r="AV21" s="144">
        <v>0</v>
      </c>
      <c r="AW21" s="144">
        <v>0</v>
      </c>
      <c r="AX21" s="143"/>
    </row>
    <row r="22" spans="18:50" x14ac:dyDescent="0.25">
      <c r="R22" s="141">
        <v>1081.4006427620504</v>
      </c>
      <c r="S22" s="144">
        <v>0</v>
      </c>
      <c r="T22" s="144">
        <v>0</v>
      </c>
      <c r="U22" s="144">
        <v>0</v>
      </c>
      <c r="V22" s="144">
        <v>0</v>
      </c>
      <c r="W22" s="144">
        <v>0</v>
      </c>
      <c r="X22" s="144">
        <v>0</v>
      </c>
      <c r="Y22" s="144">
        <v>0</v>
      </c>
      <c r="Z22" s="144">
        <v>0</v>
      </c>
      <c r="AA22" s="144">
        <v>0</v>
      </c>
      <c r="AB22" s="144">
        <v>0</v>
      </c>
      <c r="AC22" s="144">
        <v>0</v>
      </c>
      <c r="AD22" s="144">
        <v>0</v>
      </c>
      <c r="AE22" s="144">
        <v>0</v>
      </c>
      <c r="AF22" s="144">
        <v>0</v>
      </c>
      <c r="AG22" s="144">
        <v>0</v>
      </c>
      <c r="AH22" s="144">
        <v>0</v>
      </c>
      <c r="AI22" s="144">
        <v>0</v>
      </c>
      <c r="AJ22" s="144">
        <v>0</v>
      </c>
      <c r="AK22" s="144">
        <v>0</v>
      </c>
      <c r="AL22" s="144">
        <v>0</v>
      </c>
      <c r="AM22" s="144">
        <v>0</v>
      </c>
      <c r="AN22" s="144">
        <v>0</v>
      </c>
      <c r="AO22" s="144">
        <v>0</v>
      </c>
      <c r="AP22" s="144">
        <v>0</v>
      </c>
      <c r="AQ22" s="144">
        <v>0</v>
      </c>
      <c r="AR22" s="144">
        <v>0</v>
      </c>
      <c r="AS22" s="144">
        <v>0</v>
      </c>
      <c r="AT22" s="144">
        <v>0</v>
      </c>
      <c r="AU22" s="144">
        <v>0</v>
      </c>
      <c r="AV22" s="144">
        <v>0</v>
      </c>
      <c r="AW22" s="144">
        <v>0</v>
      </c>
      <c r="AX22" s="143"/>
    </row>
    <row r="23" spans="18:50" x14ac:dyDescent="0.25">
      <c r="R23" s="141">
        <v>1138.316466065316</v>
      </c>
      <c r="S23" s="144">
        <v>0</v>
      </c>
      <c r="T23" s="144">
        <v>0</v>
      </c>
      <c r="U23" s="144">
        <v>0</v>
      </c>
      <c r="V23" s="144">
        <v>0</v>
      </c>
      <c r="W23" s="144">
        <v>0</v>
      </c>
      <c r="X23" s="144">
        <v>0</v>
      </c>
      <c r="Y23" s="144">
        <v>0</v>
      </c>
      <c r="Z23" s="144">
        <v>0</v>
      </c>
      <c r="AA23" s="144">
        <v>0</v>
      </c>
      <c r="AB23" s="144">
        <v>0</v>
      </c>
      <c r="AC23" s="144">
        <v>0</v>
      </c>
      <c r="AD23" s="144">
        <v>0</v>
      </c>
      <c r="AE23" s="144">
        <v>0</v>
      </c>
      <c r="AF23" s="144">
        <v>0</v>
      </c>
      <c r="AG23" s="144">
        <v>0</v>
      </c>
      <c r="AH23" s="144">
        <v>0</v>
      </c>
      <c r="AI23" s="144">
        <v>0</v>
      </c>
      <c r="AJ23" s="144">
        <v>0</v>
      </c>
      <c r="AK23" s="144">
        <v>0</v>
      </c>
      <c r="AL23" s="144">
        <v>0</v>
      </c>
      <c r="AM23" s="144">
        <v>0</v>
      </c>
      <c r="AN23" s="144">
        <v>0</v>
      </c>
      <c r="AO23" s="144">
        <v>0</v>
      </c>
      <c r="AP23" s="144">
        <v>0</v>
      </c>
      <c r="AQ23" s="144">
        <v>0</v>
      </c>
      <c r="AR23" s="144">
        <v>0</v>
      </c>
      <c r="AS23" s="144">
        <v>0</v>
      </c>
      <c r="AT23" s="144">
        <v>0</v>
      </c>
      <c r="AU23" s="144">
        <v>0</v>
      </c>
      <c r="AV23" s="144">
        <v>0</v>
      </c>
      <c r="AW23" s="144">
        <v>0</v>
      </c>
      <c r="AX23" s="143"/>
    </row>
    <row r="24" spans="18:50" x14ac:dyDescent="0.25">
      <c r="R24" s="141">
        <v>1195.2322893685819</v>
      </c>
      <c r="S24" s="144">
        <v>0</v>
      </c>
      <c r="T24" s="144">
        <v>0</v>
      </c>
      <c r="U24" s="144">
        <v>0</v>
      </c>
      <c r="V24" s="144">
        <v>0</v>
      </c>
      <c r="W24" s="144">
        <v>0</v>
      </c>
      <c r="X24" s="144">
        <v>0</v>
      </c>
      <c r="Y24" s="144">
        <v>0</v>
      </c>
      <c r="Z24" s="144">
        <v>0</v>
      </c>
      <c r="AA24" s="144">
        <v>0</v>
      </c>
      <c r="AB24" s="144">
        <v>0</v>
      </c>
      <c r="AC24" s="144">
        <v>0</v>
      </c>
      <c r="AD24" s="144">
        <v>0</v>
      </c>
      <c r="AE24" s="144">
        <v>0</v>
      </c>
      <c r="AF24" s="144">
        <v>0</v>
      </c>
      <c r="AG24" s="144">
        <v>0</v>
      </c>
      <c r="AH24" s="144">
        <v>0</v>
      </c>
      <c r="AI24" s="144">
        <v>0</v>
      </c>
      <c r="AJ24" s="144">
        <v>0</v>
      </c>
      <c r="AK24" s="144">
        <v>0</v>
      </c>
      <c r="AL24" s="144">
        <v>0</v>
      </c>
      <c r="AM24" s="144">
        <v>0</v>
      </c>
      <c r="AN24" s="144">
        <v>0</v>
      </c>
      <c r="AO24" s="144">
        <v>0</v>
      </c>
      <c r="AP24" s="144">
        <v>0</v>
      </c>
      <c r="AQ24" s="144">
        <v>0</v>
      </c>
      <c r="AR24" s="144">
        <v>0</v>
      </c>
      <c r="AS24" s="144">
        <v>0</v>
      </c>
      <c r="AT24" s="144">
        <v>0</v>
      </c>
      <c r="AU24" s="144">
        <v>0</v>
      </c>
      <c r="AV24" s="144">
        <v>0</v>
      </c>
      <c r="AW24" s="144">
        <v>0</v>
      </c>
      <c r="AX24" s="143"/>
    </row>
    <row r="25" spans="18:50" x14ac:dyDescent="0.25">
      <c r="R25" s="141">
        <v>1252.1481126718477</v>
      </c>
      <c r="S25" s="144">
        <v>0</v>
      </c>
      <c r="T25" s="144">
        <v>0</v>
      </c>
      <c r="U25" s="144">
        <v>0</v>
      </c>
      <c r="V25" s="144">
        <v>0</v>
      </c>
      <c r="W25" s="144">
        <v>0</v>
      </c>
      <c r="X25" s="144">
        <v>0</v>
      </c>
      <c r="Y25" s="144">
        <v>0</v>
      </c>
      <c r="Z25" s="144">
        <v>0</v>
      </c>
      <c r="AA25" s="144">
        <v>0</v>
      </c>
      <c r="AB25" s="144">
        <v>0</v>
      </c>
      <c r="AC25" s="144">
        <v>0</v>
      </c>
      <c r="AD25" s="144">
        <v>0</v>
      </c>
      <c r="AE25" s="144">
        <v>0</v>
      </c>
      <c r="AF25" s="144">
        <v>0</v>
      </c>
      <c r="AG25" s="144">
        <v>0</v>
      </c>
      <c r="AH25" s="144">
        <v>0</v>
      </c>
      <c r="AI25" s="144">
        <v>0</v>
      </c>
      <c r="AJ25" s="144">
        <v>0</v>
      </c>
      <c r="AK25" s="144">
        <v>0</v>
      </c>
      <c r="AL25" s="144">
        <v>0</v>
      </c>
      <c r="AM25" s="144">
        <v>0</v>
      </c>
      <c r="AN25" s="144">
        <v>0</v>
      </c>
      <c r="AO25" s="144">
        <v>0</v>
      </c>
      <c r="AP25" s="144">
        <v>0</v>
      </c>
      <c r="AQ25" s="144">
        <v>0</v>
      </c>
      <c r="AR25" s="144">
        <v>0</v>
      </c>
      <c r="AS25" s="144">
        <v>0</v>
      </c>
      <c r="AT25" s="144">
        <v>0</v>
      </c>
      <c r="AU25" s="144">
        <v>0</v>
      </c>
      <c r="AV25" s="144">
        <v>0</v>
      </c>
      <c r="AW25" s="144">
        <v>0</v>
      </c>
      <c r="AX25" s="143"/>
    </row>
    <row r="26" spans="18:50" x14ac:dyDescent="0.25">
      <c r="R26" s="141">
        <v>1309.0639359751137</v>
      </c>
      <c r="S26" s="144">
        <v>0</v>
      </c>
      <c r="T26" s="144">
        <v>0</v>
      </c>
      <c r="U26" s="144">
        <v>0</v>
      </c>
      <c r="V26" s="144">
        <v>0</v>
      </c>
      <c r="W26" s="144">
        <v>0</v>
      </c>
      <c r="X26" s="144">
        <v>0</v>
      </c>
      <c r="Y26" s="144">
        <v>0</v>
      </c>
      <c r="Z26" s="144">
        <v>0</v>
      </c>
      <c r="AA26" s="144">
        <v>0</v>
      </c>
      <c r="AB26" s="144">
        <v>0</v>
      </c>
      <c r="AC26" s="144">
        <v>0</v>
      </c>
      <c r="AD26" s="144">
        <v>0</v>
      </c>
      <c r="AE26" s="144">
        <v>0</v>
      </c>
      <c r="AF26" s="144">
        <v>0</v>
      </c>
      <c r="AG26" s="144">
        <v>0</v>
      </c>
      <c r="AH26" s="144">
        <v>0</v>
      </c>
      <c r="AI26" s="144">
        <v>0</v>
      </c>
      <c r="AJ26" s="144">
        <v>0</v>
      </c>
      <c r="AK26" s="144">
        <v>0</v>
      </c>
      <c r="AL26" s="144">
        <v>0</v>
      </c>
      <c r="AM26" s="144">
        <v>0</v>
      </c>
      <c r="AN26" s="144">
        <v>0</v>
      </c>
      <c r="AO26" s="144">
        <v>0</v>
      </c>
      <c r="AP26" s="144">
        <v>0</v>
      </c>
      <c r="AQ26" s="144">
        <v>0</v>
      </c>
      <c r="AR26" s="144">
        <v>0</v>
      </c>
      <c r="AS26" s="144">
        <v>0</v>
      </c>
      <c r="AT26" s="144">
        <v>0</v>
      </c>
      <c r="AU26" s="144">
        <v>0</v>
      </c>
      <c r="AV26" s="144">
        <v>0</v>
      </c>
      <c r="AW26" s="144">
        <v>0</v>
      </c>
      <c r="AX26" s="143"/>
    </row>
    <row r="27" spans="18:50" x14ac:dyDescent="0.25">
      <c r="R27" s="141">
        <v>1365.9797592783796</v>
      </c>
      <c r="S27" s="144">
        <v>0</v>
      </c>
      <c r="T27" s="144">
        <v>0</v>
      </c>
      <c r="U27" s="144">
        <v>0</v>
      </c>
      <c r="V27" s="144">
        <v>0</v>
      </c>
      <c r="W27" s="144">
        <v>0</v>
      </c>
      <c r="X27" s="144">
        <v>0</v>
      </c>
      <c r="Y27" s="144">
        <v>0</v>
      </c>
      <c r="Z27" s="144">
        <v>0</v>
      </c>
      <c r="AA27" s="144">
        <v>0</v>
      </c>
      <c r="AB27" s="144">
        <v>0</v>
      </c>
      <c r="AC27" s="144">
        <v>0</v>
      </c>
      <c r="AD27" s="144">
        <v>0</v>
      </c>
      <c r="AE27" s="144">
        <v>0</v>
      </c>
      <c r="AF27" s="144">
        <v>0</v>
      </c>
      <c r="AG27" s="144">
        <v>0</v>
      </c>
      <c r="AH27" s="144">
        <v>0</v>
      </c>
      <c r="AI27" s="144">
        <v>0</v>
      </c>
      <c r="AJ27" s="144">
        <v>0</v>
      </c>
      <c r="AK27" s="144">
        <v>0</v>
      </c>
      <c r="AL27" s="144">
        <v>0</v>
      </c>
      <c r="AM27" s="144">
        <v>0</v>
      </c>
      <c r="AN27" s="144">
        <v>0</v>
      </c>
      <c r="AO27" s="144">
        <v>0</v>
      </c>
      <c r="AP27" s="144">
        <v>0</v>
      </c>
      <c r="AQ27" s="144">
        <v>0</v>
      </c>
      <c r="AR27" s="144">
        <v>0</v>
      </c>
      <c r="AS27" s="144">
        <v>0</v>
      </c>
      <c r="AT27" s="144">
        <v>0</v>
      </c>
      <c r="AU27" s="144">
        <v>0</v>
      </c>
      <c r="AV27" s="144">
        <v>0</v>
      </c>
      <c r="AW27" s="144">
        <v>0</v>
      </c>
      <c r="AX27" s="143"/>
    </row>
    <row r="28" spans="18:50" x14ac:dyDescent="0.25">
      <c r="R28" s="141">
        <v>1422.8955825816452</v>
      </c>
      <c r="S28" s="144">
        <v>0</v>
      </c>
      <c r="T28" s="144">
        <v>0</v>
      </c>
      <c r="U28" s="144">
        <v>0</v>
      </c>
      <c r="V28" s="144">
        <v>0</v>
      </c>
      <c r="W28" s="144">
        <v>0</v>
      </c>
      <c r="X28" s="144">
        <v>0</v>
      </c>
      <c r="Y28" s="144">
        <v>0</v>
      </c>
      <c r="Z28" s="144">
        <v>0</v>
      </c>
      <c r="AA28" s="144">
        <v>0</v>
      </c>
      <c r="AB28" s="144">
        <v>0</v>
      </c>
      <c r="AC28" s="144">
        <v>0</v>
      </c>
      <c r="AD28" s="144">
        <v>0</v>
      </c>
      <c r="AE28" s="144">
        <v>0</v>
      </c>
      <c r="AF28" s="144">
        <v>0</v>
      </c>
      <c r="AG28" s="144">
        <v>0</v>
      </c>
      <c r="AH28" s="144">
        <v>0</v>
      </c>
      <c r="AI28" s="144">
        <v>0</v>
      </c>
      <c r="AJ28" s="144">
        <v>0</v>
      </c>
      <c r="AK28" s="144">
        <v>0</v>
      </c>
      <c r="AL28" s="144">
        <v>0</v>
      </c>
      <c r="AM28" s="144">
        <v>0</v>
      </c>
      <c r="AN28" s="144">
        <v>0</v>
      </c>
      <c r="AO28" s="144">
        <v>0</v>
      </c>
      <c r="AP28" s="144">
        <v>0</v>
      </c>
      <c r="AQ28" s="144">
        <v>0</v>
      </c>
      <c r="AR28" s="144">
        <v>0</v>
      </c>
      <c r="AS28" s="144">
        <v>0</v>
      </c>
      <c r="AT28" s="144">
        <v>0</v>
      </c>
      <c r="AU28" s="144">
        <v>0</v>
      </c>
      <c r="AV28" s="144">
        <v>0</v>
      </c>
      <c r="AW28" s="144">
        <v>0</v>
      </c>
      <c r="AX28" s="143"/>
    </row>
    <row r="29" spans="18:50" x14ac:dyDescent="0.25">
      <c r="R29" s="141">
        <v>1479.811405884911</v>
      </c>
      <c r="S29" s="144">
        <v>0</v>
      </c>
      <c r="T29" s="144">
        <v>0</v>
      </c>
      <c r="U29" s="144">
        <v>0</v>
      </c>
      <c r="V29" s="144">
        <v>0</v>
      </c>
      <c r="W29" s="144">
        <v>0</v>
      </c>
      <c r="X29" s="144">
        <v>0</v>
      </c>
      <c r="Y29" s="144">
        <v>0</v>
      </c>
      <c r="Z29" s="144">
        <v>0</v>
      </c>
      <c r="AA29" s="144">
        <v>0</v>
      </c>
      <c r="AB29" s="144">
        <v>0</v>
      </c>
      <c r="AC29" s="144">
        <v>0</v>
      </c>
      <c r="AD29" s="144">
        <v>0</v>
      </c>
      <c r="AE29" s="144">
        <v>0</v>
      </c>
      <c r="AF29" s="144">
        <v>0</v>
      </c>
      <c r="AG29" s="144">
        <v>0</v>
      </c>
      <c r="AH29" s="144">
        <v>0</v>
      </c>
      <c r="AI29" s="144">
        <v>0</v>
      </c>
      <c r="AJ29" s="144">
        <v>0</v>
      </c>
      <c r="AK29" s="144">
        <v>0</v>
      </c>
      <c r="AL29" s="144">
        <v>0</v>
      </c>
      <c r="AM29" s="144">
        <v>0</v>
      </c>
      <c r="AN29" s="144">
        <v>0</v>
      </c>
      <c r="AO29" s="144">
        <v>0</v>
      </c>
      <c r="AP29" s="144">
        <v>0</v>
      </c>
      <c r="AQ29" s="144">
        <v>0</v>
      </c>
      <c r="AR29" s="144">
        <v>0</v>
      </c>
      <c r="AS29" s="144">
        <v>0</v>
      </c>
      <c r="AT29" s="144">
        <v>0</v>
      </c>
      <c r="AU29" s="144">
        <v>0</v>
      </c>
      <c r="AV29" s="144">
        <v>0</v>
      </c>
      <c r="AW29" s="144">
        <v>0</v>
      </c>
      <c r="AX29" s="143"/>
    </row>
    <row r="30" spans="18:50" x14ac:dyDescent="0.25">
      <c r="R30" s="141">
        <v>1536.7272291881768</v>
      </c>
      <c r="S30" s="144">
        <v>0</v>
      </c>
      <c r="T30" s="144">
        <v>0</v>
      </c>
      <c r="U30" s="144">
        <v>0</v>
      </c>
      <c r="V30" s="144">
        <v>0</v>
      </c>
      <c r="W30" s="144">
        <v>0</v>
      </c>
      <c r="X30" s="144">
        <v>0</v>
      </c>
      <c r="Y30" s="144">
        <v>0</v>
      </c>
      <c r="Z30" s="144">
        <v>0</v>
      </c>
      <c r="AA30" s="144">
        <v>0</v>
      </c>
      <c r="AB30" s="144">
        <v>0</v>
      </c>
      <c r="AC30" s="144">
        <v>0</v>
      </c>
      <c r="AD30" s="144">
        <v>0</v>
      </c>
      <c r="AE30" s="144">
        <v>0</v>
      </c>
      <c r="AF30" s="144">
        <v>0</v>
      </c>
      <c r="AG30" s="144">
        <v>0</v>
      </c>
      <c r="AH30" s="144">
        <v>0</v>
      </c>
      <c r="AI30" s="144">
        <v>0</v>
      </c>
      <c r="AJ30" s="144">
        <v>0</v>
      </c>
      <c r="AK30" s="144">
        <v>0</v>
      </c>
      <c r="AL30" s="144">
        <v>0</v>
      </c>
      <c r="AM30" s="144">
        <v>0</v>
      </c>
      <c r="AN30" s="144">
        <v>0</v>
      </c>
      <c r="AO30" s="144">
        <v>0</v>
      </c>
      <c r="AP30" s="144">
        <v>0</v>
      </c>
      <c r="AQ30" s="144">
        <v>0</v>
      </c>
      <c r="AR30" s="144">
        <v>0</v>
      </c>
      <c r="AS30" s="144">
        <v>0</v>
      </c>
      <c r="AT30" s="144">
        <v>0</v>
      </c>
      <c r="AU30" s="144">
        <v>0</v>
      </c>
      <c r="AV30" s="144">
        <v>0</v>
      </c>
      <c r="AW30" s="144">
        <v>0</v>
      </c>
      <c r="AX30" s="143"/>
    </row>
    <row r="31" spans="18:50" x14ac:dyDescent="0.25">
      <c r="R31" s="141">
        <v>1593.6430524914426</v>
      </c>
      <c r="S31" s="144">
        <v>0</v>
      </c>
      <c r="T31" s="144">
        <v>0</v>
      </c>
      <c r="U31" s="144">
        <v>0</v>
      </c>
      <c r="V31" s="144">
        <v>0</v>
      </c>
      <c r="W31" s="144">
        <v>0</v>
      </c>
      <c r="X31" s="144">
        <v>0</v>
      </c>
      <c r="Y31" s="144">
        <v>0</v>
      </c>
      <c r="Z31" s="144">
        <v>0</v>
      </c>
      <c r="AA31" s="144">
        <v>0</v>
      </c>
      <c r="AB31" s="144">
        <v>0</v>
      </c>
      <c r="AC31" s="144">
        <v>0</v>
      </c>
      <c r="AD31" s="144">
        <v>0</v>
      </c>
      <c r="AE31" s="144">
        <v>0</v>
      </c>
      <c r="AF31" s="144">
        <v>0</v>
      </c>
      <c r="AG31" s="144">
        <v>0</v>
      </c>
      <c r="AH31" s="144">
        <v>0</v>
      </c>
      <c r="AI31" s="144">
        <v>0</v>
      </c>
      <c r="AJ31" s="144">
        <v>0</v>
      </c>
      <c r="AK31" s="144">
        <v>0</v>
      </c>
      <c r="AL31" s="144">
        <v>0</v>
      </c>
      <c r="AM31" s="144">
        <v>0</v>
      </c>
      <c r="AN31" s="144">
        <v>0</v>
      </c>
      <c r="AO31" s="144">
        <v>0</v>
      </c>
      <c r="AP31" s="144">
        <v>0</v>
      </c>
      <c r="AQ31" s="144">
        <v>0</v>
      </c>
      <c r="AR31" s="144">
        <v>0</v>
      </c>
      <c r="AS31" s="144">
        <v>0</v>
      </c>
      <c r="AT31" s="144">
        <v>0</v>
      </c>
      <c r="AU31" s="144">
        <v>0</v>
      </c>
      <c r="AV31" s="144">
        <v>0</v>
      </c>
      <c r="AW31" s="144">
        <v>0</v>
      </c>
      <c r="AX31" s="143"/>
    </row>
    <row r="32" spans="18:50" x14ac:dyDescent="0.25">
      <c r="R32" s="141">
        <v>1650.5588757947085</v>
      </c>
      <c r="S32" s="144">
        <v>0</v>
      </c>
      <c r="T32" s="144">
        <v>0</v>
      </c>
      <c r="U32" s="144">
        <v>0</v>
      </c>
      <c r="V32" s="144">
        <v>0</v>
      </c>
      <c r="W32" s="144">
        <v>0</v>
      </c>
      <c r="X32" s="144">
        <v>0</v>
      </c>
      <c r="Y32" s="144">
        <v>0</v>
      </c>
      <c r="Z32" s="144">
        <v>0</v>
      </c>
      <c r="AA32" s="144">
        <v>0</v>
      </c>
      <c r="AB32" s="144">
        <v>0</v>
      </c>
      <c r="AC32" s="144">
        <v>0</v>
      </c>
      <c r="AD32" s="144">
        <v>0</v>
      </c>
      <c r="AE32" s="144">
        <v>0</v>
      </c>
      <c r="AF32" s="144">
        <v>0</v>
      </c>
      <c r="AG32" s="144">
        <v>0</v>
      </c>
      <c r="AH32" s="144">
        <v>0</v>
      </c>
      <c r="AI32" s="144">
        <v>0</v>
      </c>
      <c r="AJ32" s="144">
        <v>0</v>
      </c>
      <c r="AK32" s="144">
        <v>0</v>
      </c>
      <c r="AL32" s="144">
        <v>0</v>
      </c>
      <c r="AM32" s="144">
        <v>0</v>
      </c>
      <c r="AN32" s="144">
        <v>0</v>
      </c>
      <c r="AO32" s="144">
        <v>0</v>
      </c>
      <c r="AP32" s="144">
        <v>0</v>
      </c>
      <c r="AQ32" s="144">
        <v>0</v>
      </c>
      <c r="AR32" s="144">
        <v>0</v>
      </c>
      <c r="AS32" s="144">
        <v>0</v>
      </c>
      <c r="AT32" s="144">
        <v>0</v>
      </c>
      <c r="AU32" s="144">
        <v>0</v>
      </c>
      <c r="AV32" s="144">
        <v>0</v>
      </c>
      <c r="AW32" s="144">
        <v>0</v>
      </c>
      <c r="AX32" s="143"/>
    </row>
    <row r="33" spans="2:50" ht="15.6" x14ac:dyDescent="0.3">
      <c r="B33" s="145" t="s">
        <v>283</v>
      </c>
      <c r="C33" s="145"/>
      <c r="D33" s="145"/>
      <c r="E33" s="145"/>
      <c r="F33" s="145"/>
      <c r="G33" s="145"/>
      <c r="H33" s="145"/>
      <c r="R33" s="141">
        <v>1707.4746990979741</v>
      </c>
      <c r="S33" s="144">
        <v>0</v>
      </c>
      <c r="T33" s="144">
        <v>0</v>
      </c>
      <c r="U33" s="144">
        <v>0</v>
      </c>
      <c r="V33" s="144">
        <v>0</v>
      </c>
      <c r="W33" s="144">
        <v>0</v>
      </c>
      <c r="X33" s="144">
        <v>0</v>
      </c>
      <c r="Y33" s="144">
        <v>0</v>
      </c>
      <c r="Z33" s="144">
        <v>0</v>
      </c>
      <c r="AA33" s="144">
        <v>0</v>
      </c>
      <c r="AB33" s="144">
        <v>0</v>
      </c>
      <c r="AC33" s="144">
        <v>0</v>
      </c>
      <c r="AD33" s="144">
        <v>0</v>
      </c>
      <c r="AE33" s="144">
        <v>0</v>
      </c>
      <c r="AF33" s="144">
        <v>0</v>
      </c>
      <c r="AG33" s="144">
        <v>0</v>
      </c>
      <c r="AH33" s="144">
        <v>0</v>
      </c>
      <c r="AI33" s="144">
        <v>0</v>
      </c>
      <c r="AJ33" s="144">
        <v>0</v>
      </c>
      <c r="AK33" s="144">
        <v>0</v>
      </c>
      <c r="AL33" s="144">
        <v>0</v>
      </c>
      <c r="AM33" s="144">
        <v>0</v>
      </c>
      <c r="AN33" s="144">
        <v>0</v>
      </c>
      <c r="AO33" s="144">
        <v>0</v>
      </c>
      <c r="AP33" s="144">
        <v>0</v>
      </c>
      <c r="AQ33" s="144">
        <v>0</v>
      </c>
      <c r="AR33" s="144">
        <v>0</v>
      </c>
      <c r="AS33" s="144">
        <v>0</v>
      </c>
      <c r="AT33" s="144">
        <v>0</v>
      </c>
      <c r="AU33" s="144">
        <v>0</v>
      </c>
      <c r="AV33" s="144">
        <v>0</v>
      </c>
      <c r="AW33" s="144">
        <v>0</v>
      </c>
      <c r="AX33" s="143"/>
    </row>
    <row r="34" spans="2:50" x14ac:dyDescent="0.25">
      <c r="R34" s="141">
        <v>1764.3905224012399</v>
      </c>
      <c r="S34" s="144">
        <v>0</v>
      </c>
      <c r="T34" s="144">
        <v>0</v>
      </c>
      <c r="U34" s="144">
        <v>0</v>
      </c>
      <c r="V34" s="144">
        <v>0</v>
      </c>
      <c r="W34" s="144">
        <v>0</v>
      </c>
      <c r="X34" s="144">
        <v>0</v>
      </c>
      <c r="Y34" s="144">
        <v>0</v>
      </c>
      <c r="Z34" s="144">
        <v>0</v>
      </c>
      <c r="AA34" s="144">
        <v>0</v>
      </c>
      <c r="AB34" s="144">
        <v>0</v>
      </c>
      <c r="AC34" s="144">
        <v>0</v>
      </c>
      <c r="AD34" s="144">
        <v>0</v>
      </c>
      <c r="AE34" s="144">
        <v>0</v>
      </c>
      <c r="AF34" s="144">
        <v>0</v>
      </c>
      <c r="AG34" s="144">
        <v>0</v>
      </c>
      <c r="AH34" s="144">
        <v>0</v>
      </c>
      <c r="AI34" s="144">
        <v>0</v>
      </c>
      <c r="AJ34" s="144">
        <v>0</v>
      </c>
      <c r="AK34" s="144">
        <v>0</v>
      </c>
      <c r="AL34" s="144">
        <v>0</v>
      </c>
      <c r="AM34" s="144">
        <v>0</v>
      </c>
      <c r="AN34" s="144">
        <v>0</v>
      </c>
      <c r="AO34" s="144">
        <v>0</v>
      </c>
      <c r="AP34" s="144">
        <v>0</v>
      </c>
      <c r="AQ34" s="144">
        <v>0</v>
      </c>
      <c r="AR34" s="144">
        <v>0</v>
      </c>
      <c r="AS34" s="144">
        <v>0</v>
      </c>
      <c r="AT34" s="144">
        <v>0</v>
      </c>
      <c r="AU34" s="144">
        <v>0</v>
      </c>
      <c r="AV34" s="144">
        <v>0</v>
      </c>
      <c r="AW34" s="144">
        <v>0</v>
      </c>
      <c r="AX34" s="143"/>
    </row>
    <row r="35" spans="2:50" x14ac:dyDescent="0.25">
      <c r="R35" s="141">
        <v>1821.3063457045057</v>
      </c>
      <c r="S35" s="144">
        <v>0</v>
      </c>
      <c r="T35" s="144">
        <v>0</v>
      </c>
      <c r="U35" s="144">
        <v>0</v>
      </c>
      <c r="V35" s="144">
        <v>0</v>
      </c>
      <c r="W35" s="144">
        <v>0</v>
      </c>
      <c r="X35" s="144">
        <v>0</v>
      </c>
      <c r="Y35" s="144">
        <v>0</v>
      </c>
      <c r="Z35" s="144">
        <v>0</v>
      </c>
      <c r="AA35" s="144">
        <v>0</v>
      </c>
      <c r="AB35" s="144">
        <v>0</v>
      </c>
      <c r="AC35" s="144">
        <v>0</v>
      </c>
      <c r="AD35" s="144">
        <v>0</v>
      </c>
      <c r="AE35" s="144">
        <v>0</v>
      </c>
      <c r="AF35" s="144">
        <v>0</v>
      </c>
      <c r="AG35" s="144">
        <v>0</v>
      </c>
      <c r="AH35" s="144">
        <v>0</v>
      </c>
      <c r="AI35" s="144">
        <v>0</v>
      </c>
      <c r="AJ35" s="144">
        <v>0</v>
      </c>
      <c r="AK35" s="144">
        <v>0</v>
      </c>
      <c r="AL35" s="144">
        <v>0</v>
      </c>
      <c r="AM35" s="144">
        <v>0</v>
      </c>
      <c r="AN35" s="144">
        <v>0</v>
      </c>
      <c r="AO35" s="144">
        <v>0</v>
      </c>
      <c r="AP35" s="144">
        <v>0</v>
      </c>
      <c r="AQ35" s="144">
        <v>0</v>
      </c>
      <c r="AR35" s="144">
        <v>0</v>
      </c>
      <c r="AS35" s="144">
        <v>0</v>
      </c>
      <c r="AT35" s="144">
        <v>0</v>
      </c>
      <c r="AU35" s="144">
        <v>0</v>
      </c>
      <c r="AV35" s="144">
        <v>0</v>
      </c>
      <c r="AW35" s="144">
        <v>0</v>
      </c>
      <c r="AX35" s="143"/>
    </row>
    <row r="36" spans="2:50" x14ac:dyDescent="0.25">
      <c r="R36" s="141">
        <v>1878.2221690077715</v>
      </c>
      <c r="S36" s="144">
        <v>0</v>
      </c>
      <c r="T36" s="144">
        <v>0</v>
      </c>
      <c r="U36" s="144">
        <v>0</v>
      </c>
      <c r="V36" s="144">
        <v>0</v>
      </c>
      <c r="W36" s="144">
        <v>0</v>
      </c>
      <c r="X36" s="144">
        <v>0</v>
      </c>
      <c r="Y36" s="144">
        <v>0</v>
      </c>
      <c r="Z36" s="144">
        <v>0</v>
      </c>
      <c r="AA36" s="144">
        <v>0</v>
      </c>
      <c r="AB36" s="144">
        <v>0</v>
      </c>
      <c r="AC36" s="144">
        <v>0</v>
      </c>
      <c r="AD36" s="144">
        <v>0</v>
      </c>
      <c r="AE36" s="144">
        <v>0</v>
      </c>
      <c r="AF36" s="144">
        <v>0</v>
      </c>
      <c r="AG36" s="144">
        <v>0</v>
      </c>
      <c r="AH36" s="144">
        <v>0</v>
      </c>
      <c r="AI36" s="144">
        <v>0</v>
      </c>
      <c r="AJ36" s="144">
        <v>0</v>
      </c>
      <c r="AK36" s="144">
        <v>0</v>
      </c>
      <c r="AL36" s="144">
        <v>0</v>
      </c>
      <c r="AM36" s="144">
        <v>0</v>
      </c>
      <c r="AN36" s="144">
        <v>0</v>
      </c>
      <c r="AO36" s="144">
        <v>0</v>
      </c>
      <c r="AP36" s="144">
        <v>0</v>
      </c>
      <c r="AQ36" s="144">
        <v>0</v>
      </c>
      <c r="AR36" s="144">
        <v>0</v>
      </c>
      <c r="AS36" s="144">
        <v>0</v>
      </c>
      <c r="AT36" s="144">
        <v>0</v>
      </c>
      <c r="AU36" s="144">
        <v>0</v>
      </c>
      <c r="AV36" s="144">
        <v>0</v>
      </c>
      <c r="AW36" s="144">
        <v>0</v>
      </c>
      <c r="AX36" s="143"/>
    </row>
    <row r="37" spans="2:50" x14ac:dyDescent="0.25">
      <c r="R37" s="141">
        <v>1935.1379923110374</v>
      </c>
      <c r="S37" s="144">
        <v>0</v>
      </c>
      <c r="T37" s="144">
        <v>0</v>
      </c>
      <c r="U37" s="144">
        <v>0</v>
      </c>
      <c r="V37" s="144">
        <v>0</v>
      </c>
      <c r="W37" s="144">
        <v>0</v>
      </c>
      <c r="X37" s="144">
        <v>0</v>
      </c>
      <c r="Y37" s="144">
        <v>0</v>
      </c>
      <c r="Z37" s="144">
        <v>0</v>
      </c>
      <c r="AA37" s="144">
        <v>0</v>
      </c>
      <c r="AB37" s="144">
        <v>0</v>
      </c>
      <c r="AC37" s="144">
        <v>0</v>
      </c>
      <c r="AD37" s="144">
        <v>0</v>
      </c>
      <c r="AE37" s="144">
        <v>0</v>
      </c>
      <c r="AF37" s="144">
        <v>0</v>
      </c>
      <c r="AG37" s="144">
        <v>0</v>
      </c>
      <c r="AH37" s="144">
        <v>0</v>
      </c>
      <c r="AI37" s="144">
        <v>0</v>
      </c>
      <c r="AJ37" s="144">
        <v>0</v>
      </c>
      <c r="AK37" s="144">
        <v>0</v>
      </c>
      <c r="AL37" s="144">
        <v>0</v>
      </c>
      <c r="AM37" s="144">
        <v>0</v>
      </c>
      <c r="AN37" s="144">
        <v>0</v>
      </c>
      <c r="AO37" s="144">
        <v>0</v>
      </c>
      <c r="AP37" s="144">
        <v>0</v>
      </c>
      <c r="AQ37" s="144">
        <v>0</v>
      </c>
      <c r="AR37" s="144">
        <v>0</v>
      </c>
      <c r="AS37" s="144">
        <v>0</v>
      </c>
      <c r="AT37" s="144">
        <v>0</v>
      </c>
      <c r="AU37" s="144">
        <v>0</v>
      </c>
      <c r="AV37" s="144">
        <v>0</v>
      </c>
      <c r="AW37" s="144">
        <v>0</v>
      </c>
      <c r="AX37" s="143"/>
    </row>
    <row r="38" spans="2:50" x14ac:dyDescent="0.25">
      <c r="R38" s="141">
        <v>1992.0538156143032</v>
      </c>
      <c r="S38" s="144">
        <v>0</v>
      </c>
      <c r="T38" s="144">
        <v>0</v>
      </c>
      <c r="U38" s="144">
        <v>0</v>
      </c>
      <c r="V38" s="144">
        <v>0</v>
      </c>
      <c r="W38" s="144">
        <v>0</v>
      </c>
      <c r="X38" s="144">
        <v>0</v>
      </c>
      <c r="Y38" s="144">
        <v>0</v>
      </c>
      <c r="Z38" s="144">
        <v>0</v>
      </c>
      <c r="AA38" s="144">
        <v>0</v>
      </c>
      <c r="AB38" s="144">
        <v>0</v>
      </c>
      <c r="AC38" s="144">
        <v>0</v>
      </c>
      <c r="AD38" s="144">
        <v>0</v>
      </c>
      <c r="AE38" s="144">
        <v>0</v>
      </c>
      <c r="AF38" s="144">
        <v>0</v>
      </c>
      <c r="AG38" s="144">
        <v>0</v>
      </c>
      <c r="AH38" s="144">
        <v>0</v>
      </c>
      <c r="AI38" s="144">
        <v>0</v>
      </c>
      <c r="AJ38" s="144">
        <v>0</v>
      </c>
      <c r="AK38" s="144">
        <v>0</v>
      </c>
      <c r="AL38" s="144">
        <v>0</v>
      </c>
      <c r="AM38" s="144">
        <v>0</v>
      </c>
      <c r="AN38" s="144">
        <v>0</v>
      </c>
      <c r="AO38" s="144">
        <v>0</v>
      </c>
      <c r="AP38" s="144">
        <v>0</v>
      </c>
      <c r="AQ38" s="144">
        <v>0</v>
      </c>
      <c r="AR38" s="144">
        <v>0</v>
      </c>
      <c r="AS38" s="144">
        <v>0</v>
      </c>
      <c r="AT38" s="144">
        <v>0</v>
      </c>
      <c r="AU38" s="144">
        <v>0</v>
      </c>
      <c r="AV38" s="144">
        <v>0</v>
      </c>
      <c r="AW38" s="144">
        <v>0</v>
      </c>
      <c r="AX38" s="143"/>
    </row>
    <row r="39" spans="2:50" x14ac:dyDescent="0.25">
      <c r="R39" s="141">
        <v>2048.9696389175692</v>
      </c>
      <c r="S39" s="144">
        <v>0</v>
      </c>
      <c r="T39" s="144">
        <v>0</v>
      </c>
      <c r="U39" s="144">
        <v>0</v>
      </c>
      <c r="V39" s="144">
        <v>0</v>
      </c>
      <c r="W39" s="144">
        <v>0</v>
      </c>
      <c r="X39" s="144">
        <v>0</v>
      </c>
      <c r="Y39" s="144">
        <v>0</v>
      </c>
      <c r="Z39" s="144">
        <v>0</v>
      </c>
      <c r="AA39" s="144">
        <v>0</v>
      </c>
      <c r="AB39" s="144">
        <v>0</v>
      </c>
      <c r="AC39" s="144">
        <v>0</v>
      </c>
      <c r="AD39" s="144">
        <v>0</v>
      </c>
      <c r="AE39" s="144">
        <v>0</v>
      </c>
      <c r="AF39" s="144">
        <v>0</v>
      </c>
      <c r="AG39" s="144">
        <v>0</v>
      </c>
      <c r="AH39" s="144">
        <v>0</v>
      </c>
      <c r="AI39" s="144">
        <v>0</v>
      </c>
      <c r="AJ39" s="144">
        <v>0</v>
      </c>
      <c r="AK39" s="144">
        <v>0</v>
      </c>
      <c r="AL39" s="144">
        <v>0</v>
      </c>
      <c r="AM39" s="144">
        <v>0</v>
      </c>
      <c r="AN39" s="144">
        <v>0</v>
      </c>
      <c r="AO39" s="144">
        <v>0</v>
      </c>
      <c r="AP39" s="144">
        <v>0</v>
      </c>
      <c r="AQ39" s="144">
        <v>0</v>
      </c>
      <c r="AR39" s="144">
        <v>0</v>
      </c>
      <c r="AS39" s="144">
        <v>0</v>
      </c>
      <c r="AT39" s="144">
        <v>0</v>
      </c>
      <c r="AU39" s="144">
        <v>0</v>
      </c>
      <c r="AV39" s="144">
        <v>0</v>
      </c>
      <c r="AW39" s="144">
        <v>0</v>
      </c>
      <c r="AX39" s="143"/>
    </row>
    <row r="40" spans="2:50" x14ac:dyDescent="0.25">
      <c r="R40" s="141">
        <v>2105.8854622208351</v>
      </c>
      <c r="S40" s="144">
        <v>0</v>
      </c>
      <c r="T40" s="144">
        <v>0</v>
      </c>
      <c r="U40" s="144">
        <v>0</v>
      </c>
      <c r="V40" s="144">
        <v>0</v>
      </c>
      <c r="W40" s="144">
        <v>0</v>
      </c>
      <c r="X40" s="144">
        <v>0</v>
      </c>
      <c r="Y40" s="144">
        <v>0</v>
      </c>
      <c r="Z40" s="144">
        <v>0</v>
      </c>
      <c r="AA40" s="144">
        <v>0</v>
      </c>
      <c r="AB40" s="144">
        <v>0</v>
      </c>
      <c r="AC40" s="144">
        <v>0</v>
      </c>
      <c r="AD40" s="144">
        <v>0</v>
      </c>
      <c r="AE40" s="144">
        <v>0</v>
      </c>
      <c r="AF40" s="144">
        <v>0</v>
      </c>
      <c r="AG40" s="144">
        <v>0</v>
      </c>
      <c r="AH40" s="144">
        <v>0</v>
      </c>
      <c r="AI40" s="144">
        <v>0</v>
      </c>
      <c r="AJ40" s="144">
        <v>0</v>
      </c>
      <c r="AK40" s="144">
        <v>0</v>
      </c>
      <c r="AL40" s="144">
        <v>0</v>
      </c>
      <c r="AM40" s="144">
        <v>0</v>
      </c>
      <c r="AN40" s="144">
        <v>0</v>
      </c>
      <c r="AO40" s="144">
        <v>0</v>
      </c>
      <c r="AP40" s="144">
        <v>0</v>
      </c>
      <c r="AQ40" s="144">
        <v>0</v>
      </c>
      <c r="AR40" s="144">
        <v>0</v>
      </c>
      <c r="AS40" s="144">
        <v>0</v>
      </c>
      <c r="AT40" s="144">
        <v>0</v>
      </c>
      <c r="AU40" s="144">
        <v>0</v>
      </c>
      <c r="AV40" s="144">
        <v>0</v>
      </c>
      <c r="AW40" s="144">
        <v>0</v>
      </c>
      <c r="AX40" s="143"/>
    </row>
    <row r="41" spans="2:50" x14ac:dyDescent="0.25">
      <c r="R41" s="141">
        <v>2162.8012855241009</v>
      </c>
      <c r="S41" s="144">
        <v>0</v>
      </c>
      <c r="T41" s="144">
        <v>0</v>
      </c>
      <c r="U41" s="144">
        <v>0</v>
      </c>
      <c r="V41" s="144">
        <v>0</v>
      </c>
      <c r="W41" s="144">
        <v>0</v>
      </c>
      <c r="X41" s="144">
        <v>0</v>
      </c>
      <c r="Y41" s="144">
        <v>0</v>
      </c>
      <c r="Z41" s="144">
        <v>0</v>
      </c>
      <c r="AA41" s="144">
        <v>0</v>
      </c>
      <c r="AB41" s="144">
        <v>0</v>
      </c>
      <c r="AC41" s="144">
        <v>0</v>
      </c>
      <c r="AD41" s="144">
        <v>0</v>
      </c>
      <c r="AE41" s="144">
        <v>0</v>
      </c>
      <c r="AF41" s="144">
        <v>0</v>
      </c>
      <c r="AG41" s="144">
        <v>0</v>
      </c>
      <c r="AH41" s="144">
        <v>0</v>
      </c>
      <c r="AI41" s="144">
        <v>0</v>
      </c>
      <c r="AJ41" s="144">
        <v>0</v>
      </c>
      <c r="AK41" s="144">
        <v>0</v>
      </c>
      <c r="AL41" s="144">
        <v>0</v>
      </c>
      <c r="AM41" s="144">
        <v>0</v>
      </c>
      <c r="AN41" s="144">
        <v>0</v>
      </c>
      <c r="AO41" s="144">
        <v>0</v>
      </c>
      <c r="AP41" s="144">
        <v>0</v>
      </c>
      <c r="AQ41" s="144">
        <v>0</v>
      </c>
      <c r="AR41" s="144">
        <v>0</v>
      </c>
      <c r="AS41" s="144">
        <v>0</v>
      </c>
      <c r="AT41" s="144">
        <v>0</v>
      </c>
      <c r="AU41" s="144">
        <v>0</v>
      </c>
      <c r="AV41" s="144">
        <v>0</v>
      </c>
      <c r="AW41" s="144">
        <v>0</v>
      </c>
      <c r="AX41" s="143"/>
    </row>
    <row r="42" spans="2:50" x14ac:dyDescent="0.25">
      <c r="R42" s="141">
        <v>2219.7171088273667</v>
      </c>
      <c r="S42" s="144">
        <v>0</v>
      </c>
      <c r="T42" s="144">
        <v>0</v>
      </c>
      <c r="U42" s="144">
        <v>0</v>
      </c>
      <c r="V42" s="144">
        <v>0</v>
      </c>
      <c r="W42" s="144">
        <v>0</v>
      </c>
      <c r="X42" s="144">
        <v>0</v>
      </c>
      <c r="Y42" s="144">
        <v>0</v>
      </c>
      <c r="Z42" s="144">
        <v>0</v>
      </c>
      <c r="AA42" s="144">
        <v>0</v>
      </c>
      <c r="AB42" s="144">
        <v>0</v>
      </c>
      <c r="AC42" s="144">
        <v>0</v>
      </c>
      <c r="AD42" s="144">
        <v>0</v>
      </c>
      <c r="AE42" s="144">
        <v>0</v>
      </c>
      <c r="AF42" s="144">
        <v>0</v>
      </c>
      <c r="AG42" s="144">
        <v>0</v>
      </c>
      <c r="AH42" s="144">
        <v>0</v>
      </c>
      <c r="AI42" s="144">
        <v>0</v>
      </c>
      <c r="AJ42" s="144">
        <v>0</v>
      </c>
      <c r="AK42" s="144">
        <v>0</v>
      </c>
      <c r="AL42" s="144">
        <v>0</v>
      </c>
      <c r="AM42" s="144">
        <v>0</v>
      </c>
      <c r="AN42" s="144">
        <v>0</v>
      </c>
      <c r="AO42" s="144">
        <v>0</v>
      </c>
      <c r="AP42" s="144">
        <v>0</v>
      </c>
      <c r="AQ42" s="144">
        <v>0</v>
      </c>
      <c r="AR42" s="144">
        <v>0</v>
      </c>
      <c r="AS42" s="144">
        <v>0</v>
      </c>
      <c r="AT42" s="144">
        <v>0</v>
      </c>
      <c r="AU42" s="144">
        <v>0</v>
      </c>
      <c r="AV42" s="144">
        <v>0</v>
      </c>
      <c r="AW42" s="144">
        <v>0</v>
      </c>
      <c r="AX42" s="143"/>
    </row>
    <row r="43" spans="2:50" x14ac:dyDescent="0.25">
      <c r="R43" s="141">
        <v>2276.6329321306321</v>
      </c>
      <c r="S43" s="144">
        <v>0</v>
      </c>
      <c r="T43" s="144">
        <v>0</v>
      </c>
      <c r="U43" s="144">
        <v>0</v>
      </c>
      <c r="V43" s="144">
        <v>0</v>
      </c>
      <c r="W43" s="144">
        <v>0</v>
      </c>
      <c r="X43" s="144">
        <v>0</v>
      </c>
      <c r="Y43" s="144">
        <v>0</v>
      </c>
      <c r="Z43" s="144">
        <v>0</v>
      </c>
      <c r="AA43" s="144">
        <v>0</v>
      </c>
      <c r="AB43" s="144">
        <v>0</v>
      </c>
      <c r="AC43" s="144">
        <v>0</v>
      </c>
      <c r="AD43" s="144">
        <v>0</v>
      </c>
      <c r="AE43" s="144">
        <v>0</v>
      </c>
      <c r="AF43" s="144">
        <v>0</v>
      </c>
      <c r="AG43" s="144">
        <v>0</v>
      </c>
      <c r="AH43" s="144">
        <v>0</v>
      </c>
      <c r="AI43" s="144">
        <v>0</v>
      </c>
      <c r="AJ43" s="144">
        <v>0</v>
      </c>
      <c r="AK43" s="144">
        <v>0</v>
      </c>
      <c r="AL43" s="144">
        <v>0</v>
      </c>
      <c r="AM43" s="144">
        <v>0</v>
      </c>
      <c r="AN43" s="144">
        <v>0</v>
      </c>
      <c r="AO43" s="144">
        <v>0</v>
      </c>
      <c r="AP43" s="144">
        <v>0</v>
      </c>
      <c r="AQ43" s="144">
        <v>0</v>
      </c>
      <c r="AR43" s="144">
        <v>0</v>
      </c>
      <c r="AS43" s="144">
        <v>0</v>
      </c>
      <c r="AT43" s="144">
        <v>0</v>
      </c>
      <c r="AU43" s="144">
        <v>0</v>
      </c>
      <c r="AV43" s="144">
        <v>0</v>
      </c>
      <c r="AW43" s="144">
        <v>0</v>
      </c>
      <c r="AX43" s="143"/>
    </row>
    <row r="44" spans="2:50" x14ac:dyDescent="0.25">
      <c r="R44" s="141">
        <v>2333.5487554338979</v>
      </c>
      <c r="S44" s="144">
        <v>0</v>
      </c>
      <c r="T44" s="144">
        <v>0</v>
      </c>
      <c r="U44" s="144">
        <v>0</v>
      </c>
      <c r="V44" s="144">
        <v>0</v>
      </c>
      <c r="W44" s="144">
        <v>0</v>
      </c>
      <c r="X44" s="144">
        <v>0</v>
      </c>
      <c r="Y44" s="144">
        <v>0</v>
      </c>
      <c r="Z44" s="144">
        <v>0</v>
      </c>
      <c r="AA44" s="144">
        <v>0</v>
      </c>
      <c r="AB44" s="144">
        <v>0</v>
      </c>
      <c r="AC44" s="144">
        <v>0</v>
      </c>
      <c r="AD44" s="144">
        <v>0</v>
      </c>
      <c r="AE44" s="144">
        <v>0</v>
      </c>
      <c r="AF44" s="144">
        <v>0</v>
      </c>
      <c r="AG44" s="144">
        <v>0</v>
      </c>
      <c r="AH44" s="144">
        <v>0</v>
      </c>
      <c r="AI44" s="144">
        <v>0</v>
      </c>
      <c r="AJ44" s="144">
        <v>0</v>
      </c>
      <c r="AK44" s="144">
        <v>0</v>
      </c>
      <c r="AL44" s="144">
        <v>0</v>
      </c>
      <c r="AM44" s="144">
        <v>0</v>
      </c>
      <c r="AN44" s="144">
        <v>0</v>
      </c>
      <c r="AO44" s="144">
        <v>0</v>
      </c>
      <c r="AP44" s="144">
        <v>0</v>
      </c>
      <c r="AQ44" s="144">
        <v>0</v>
      </c>
      <c r="AR44" s="144">
        <v>0</v>
      </c>
      <c r="AS44" s="144">
        <v>0</v>
      </c>
      <c r="AT44" s="144">
        <v>0</v>
      </c>
      <c r="AU44" s="144">
        <v>0</v>
      </c>
      <c r="AV44" s="144">
        <v>0</v>
      </c>
      <c r="AW44" s="144">
        <v>0</v>
      </c>
      <c r="AX44" s="143"/>
    </row>
    <row r="45" spans="2:50" x14ac:dyDescent="0.25">
      <c r="R45" s="141">
        <v>2390.4645787371637</v>
      </c>
      <c r="S45" s="144">
        <v>0</v>
      </c>
      <c r="T45" s="144">
        <v>0</v>
      </c>
      <c r="U45" s="144">
        <v>0</v>
      </c>
      <c r="V45" s="144">
        <v>0</v>
      </c>
      <c r="W45" s="144">
        <v>0</v>
      </c>
      <c r="X45" s="144">
        <v>0</v>
      </c>
      <c r="Y45" s="144">
        <v>0</v>
      </c>
      <c r="Z45" s="144">
        <v>0</v>
      </c>
      <c r="AA45" s="144">
        <v>0</v>
      </c>
      <c r="AB45" s="144">
        <v>0</v>
      </c>
      <c r="AC45" s="144">
        <v>0</v>
      </c>
      <c r="AD45" s="144">
        <v>0</v>
      </c>
      <c r="AE45" s="144">
        <v>0</v>
      </c>
      <c r="AF45" s="144">
        <v>0</v>
      </c>
      <c r="AG45" s="144">
        <v>0</v>
      </c>
      <c r="AH45" s="144">
        <v>0</v>
      </c>
      <c r="AI45" s="144">
        <v>0</v>
      </c>
      <c r="AJ45" s="144">
        <v>0</v>
      </c>
      <c r="AK45" s="144">
        <v>0</v>
      </c>
      <c r="AL45" s="144">
        <v>0</v>
      </c>
      <c r="AM45" s="144">
        <v>0</v>
      </c>
      <c r="AN45" s="144">
        <v>0</v>
      </c>
      <c r="AO45" s="144">
        <v>0</v>
      </c>
      <c r="AP45" s="144">
        <v>0</v>
      </c>
      <c r="AQ45" s="144">
        <v>0</v>
      </c>
      <c r="AR45" s="144">
        <v>0</v>
      </c>
      <c r="AS45" s="144">
        <v>0</v>
      </c>
      <c r="AT45" s="144">
        <v>0</v>
      </c>
      <c r="AU45" s="144">
        <v>0</v>
      </c>
      <c r="AV45" s="144">
        <v>0</v>
      </c>
      <c r="AW45" s="144">
        <v>0</v>
      </c>
      <c r="AX45" s="143"/>
    </row>
    <row r="46" spans="2:50" x14ac:dyDescent="0.25">
      <c r="R46" s="141">
        <v>2447.3804020404295</v>
      </c>
      <c r="S46" s="144">
        <v>0</v>
      </c>
      <c r="T46" s="144">
        <v>0</v>
      </c>
      <c r="U46" s="144">
        <v>0</v>
      </c>
      <c r="V46" s="144">
        <v>0</v>
      </c>
      <c r="W46" s="144">
        <v>0</v>
      </c>
      <c r="X46" s="144">
        <v>0</v>
      </c>
      <c r="Y46" s="144">
        <v>0</v>
      </c>
      <c r="Z46" s="144">
        <v>0</v>
      </c>
      <c r="AA46" s="144">
        <v>0</v>
      </c>
      <c r="AB46" s="144">
        <v>0</v>
      </c>
      <c r="AC46" s="144">
        <v>0</v>
      </c>
      <c r="AD46" s="144">
        <v>0</v>
      </c>
      <c r="AE46" s="144">
        <v>0</v>
      </c>
      <c r="AF46" s="144">
        <v>0</v>
      </c>
      <c r="AG46" s="144">
        <v>0</v>
      </c>
      <c r="AH46" s="144">
        <v>0</v>
      </c>
      <c r="AI46" s="144">
        <v>0</v>
      </c>
      <c r="AJ46" s="144">
        <v>0</v>
      </c>
      <c r="AK46" s="144">
        <v>0</v>
      </c>
      <c r="AL46" s="144">
        <v>0</v>
      </c>
      <c r="AM46" s="144">
        <v>0</v>
      </c>
      <c r="AN46" s="144">
        <v>0</v>
      </c>
      <c r="AO46" s="144">
        <v>0</v>
      </c>
      <c r="AP46" s="144">
        <v>0</v>
      </c>
      <c r="AQ46" s="144">
        <v>0</v>
      </c>
      <c r="AR46" s="144">
        <v>0</v>
      </c>
      <c r="AS46" s="144">
        <v>0</v>
      </c>
      <c r="AT46" s="144">
        <v>0</v>
      </c>
      <c r="AU46" s="144">
        <v>0</v>
      </c>
      <c r="AV46" s="144">
        <v>0</v>
      </c>
      <c r="AW46" s="144">
        <v>0</v>
      </c>
      <c r="AX46" s="143"/>
    </row>
    <row r="47" spans="2:50" x14ac:dyDescent="0.25">
      <c r="R47" s="141">
        <v>2504.2962253436954</v>
      </c>
      <c r="S47" s="144">
        <v>0</v>
      </c>
      <c r="T47" s="144">
        <v>0</v>
      </c>
      <c r="U47" s="144">
        <v>0</v>
      </c>
      <c r="V47" s="144">
        <v>0</v>
      </c>
      <c r="W47" s="144">
        <v>0</v>
      </c>
      <c r="X47" s="144">
        <v>0</v>
      </c>
      <c r="Y47" s="144">
        <v>0</v>
      </c>
      <c r="Z47" s="144">
        <v>0</v>
      </c>
      <c r="AA47" s="144">
        <v>0</v>
      </c>
      <c r="AB47" s="144">
        <v>0</v>
      </c>
      <c r="AC47" s="144">
        <v>0</v>
      </c>
      <c r="AD47" s="144">
        <v>0</v>
      </c>
      <c r="AE47" s="144">
        <v>0</v>
      </c>
      <c r="AF47" s="144">
        <v>0</v>
      </c>
      <c r="AG47" s="144">
        <v>0</v>
      </c>
      <c r="AH47" s="144">
        <v>0</v>
      </c>
      <c r="AI47" s="144">
        <v>0</v>
      </c>
      <c r="AJ47" s="144">
        <v>0</v>
      </c>
      <c r="AK47" s="144">
        <v>0</v>
      </c>
      <c r="AL47" s="144">
        <v>0</v>
      </c>
      <c r="AM47" s="144">
        <v>0</v>
      </c>
      <c r="AN47" s="144">
        <v>0</v>
      </c>
      <c r="AO47" s="144">
        <v>0</v>
      </c>
      <c r="AP47" s="144">
        <v>0</v>
      </c>
      <c r="AQ47" s="144">
        <v>0</v>
      </c>
      <c r="AR47" s="144">
        <v>0</v>
      </c>
      <c r="AS47" s="144">
        <v>0</v>
      </c>
      <c r="AT47" s="144">
        <v>0</v>
      </c>
      <c r="AU47" s="144">
        <v>0</v>
      </c>
      <c r="AV47" s="144">
        <v>0</v>
      </c>
      <c r="AW47" s="144">
        <v>0</v>
      </c>
      <c r="AX47" s="143"/>
    </row>
    <row r="48" spans="2:50" x14ac:dyDescent="0.25">
      <c r="R48" s="141">
        <v>2561.2120486469612</v>
      </c>
      <c r="S48" s="144">
        <v>0</v>
      </c>
      <c r="T48" s="144">
        <v>0</v>
      </c>
      <c r="U48" s="144">
        <v>0</v>
      </c>
      <c r="V48" s="144">
        <v>0</v>
      </c>
      <c r="W48" s="144">
        <v>0</v>
      </c>
      <c r="X48" s="144">
        <v>0</v>
      </c>
      <c r="Y48" s="144">
        <v>0</v>
      </c>
      <c r="Z48" s="144">
        <v>0</v>
      </c>
      <c r="AA48" s="144">
        <v>0</v>
      </c>
      <c r="AB48" s="144">
        <v>0</v>
      </c>
      <c r="AC48" s="144">
        <v>0</v>
      </c>
      <c r="AD48" s="144">
        <v>0</v>
      </c>
      <c r="AE48" s="144">
        <v>0</v>
      </c>
      <c r="AF48" s="144">
        <v>0</v>
      </c>
      <c r="AG48" s="144">
        <v>0</v>
      </c>
      <c r="AH48" s="144">
        <v>0</v>
      </c>
      <c r="AI48" s="144">
        <v>0</v>
      </c>
      <c r="AJ48" s="144">
        <v>0</v>
      </c>
      <c r="AK48" s="144">
        <v>0</v>
      </c>
      <c r="AL48" s="144">
        <v>0</v>
      </c>
      <c r="AM48" s="144">
        <v>0</v>
      </c>
      <c r="AN48" s="144">
        <v>0</v>
      </c>
      <c r="AO48" s="144">
        <v>0</v>
      </c>
      <c r="AP48" s="144">
        <v>0</v>
      </c>
      <c r="AQ48" s="144">
        <v>0</v>
      </c>
      <c r="AR48" s="144">
        <v>0</v>
      </c>
      <c r="AS48" s="144">
        <v>0</v>
      </c>
      <c r="AT48" s="144">
        <v>0</v>
      </c>
      <c r="AU48" s="144">
        <v>0</v>
      </c>
      <c r="AV48" s="144">
        <v>0</v>
      </c>
      <c r="AW48" s="144">
        <v>0</v>
      </c>
      <c r="AX48" s="143"/>
    </row>
    <row r="49" spans="18:50" x14ac:dyDescent="0.25">
      <c r="R49" s="141">
        <v>2618.1278719502275</v>
      </c>
      <c r="S49" s="144">
        <v>0</v>
      </c>
      <c r="T49" s="144">
        <v>0</v>
      </c>
      <c r="U49" s="144">
        <v>0</v>
      </c>
      <c r="V49" s="144">
        <v>0</v>
      </c>
      <c r="W49" s="144">
        <v>0</v>
      </c>
      <c r="X49" s="144">
        <v>0</v>
      </c>
      <c r="Y49" s="144">
        <v>0</v>
      </c>
      <c r="Z49" s="144">
        <v>0</v>
      </c>
      <c r="AA49" s="144">
        <v>0</v>
      </c>
      <c r="AB49" s="144">
        <v>0</v>
      </c>
      <c r="AC49" s="144">
        <v>0</v>
      </c>
      <c r="AD49" s="144">
        <v>0</v>
      </c>
      <c r="AE49" s="144">
        <v>0</v>
      </c>
      <c r="AF49" s="144">
        <v>0</v>
      </c>
      <c r="AG49" s="144">
        <v>0</v>
      </c>
      <c r="AH49" s="144">
        <v>0</v>
      </c>
      <c r="AI49" s="144">
        <v>0</v>
      </c>
      <c r="AJ49" s="144">
        <v>0</v>
      </c>
      <c r="AK49" s="144">
        <v>0</v>
      </c>
      <c r="AL49" s="144">
        <v>0</v>
      </c>
      <c r="AM49" s="144">
        <v>0</v>
      </c>
      <c r="AN49" s="144">
        <v>0</v>
      </c>
      <c r="AO49" s="144">
        <v>0</v>
      </c>
      <c r="AP49" s="144">
        <v>0</v>
      </c>
      <c r="AQ49" s="144">
        <v>0</v>
      </c>
      <c r="AR49" s="144">
        <v>0</v>
      </c>
      <c r="AS49" s="144">
        <v>0</v>
      </c>
      <c r="AT49" s="144">
        <v>0</v>
      </c>
      <c r="AU49" s="144">
        <v>0</v>
      </c>
      <c r="AV49" s="144">
        <v>0</v>
      </c>
      <c r="AW49" s="144">
        <v>0</v>
      </c>
      <c r="AX49" s="143"/>
    </row>
    <row r="50" spans="18:50" x14ac:dyDescent="0.25">
      <c r="R50" s="141">
        <v>2675.0436952534928</v>
      </c>
      <c r="S50" s="144">
        <v>0</v>
      </c>
      <c r="T50" s="144">
        <v>0</v>
      </c>
      <c r="U50" s="144">
        <v>0</v>
      </c>
      <c r="V50" s="144">
        <v>0</v>
      </c>
      <c r="W50" s="144">
        <v>0</v>
      </c>
      <c r="X50" s="144">
        <v>0</v>
      </c>
      <c r="Y50" s="144">
        <v>0</v>
      </c>
      <c r="Z50" s="144">
        <v>0</v>
      </c>
      <c r="AA50" s="144">
        <v>0</v>
      </c>
      <c r="AB50" s="144">
        <v>0</v>
      </c>
      <c r="AC50" s="144">
        <v>0</v>
      </c>
      <c r="AD50" s="144">
        <v>0</v>
      </c>
      <c r="AE50" s="144">
        <v>0</v>
      </c>
      <c r="AF50" s="144">
        <v>0</v>
      </c>
      <c r="AG50" s="144">
        <v>0</v>
      </c>
      <c r="AH50" s="144">
        <v>0</v>
      </c>
      <c r="AI50" s="144">
        <v>0</v>
      </c>
      <c r="AJ50" s="144">
        <v>0</v>
      </c>
      <c r="AK50" s="144">
        <v>0</v>
      </c>
      <c r="AL50" s="144">
        <v>0</v>
      </c>
      <c r="AM50" s="144">
        <v>0</v>
      </c>
      <c r="AN50" s="144">
        <v>0</v>
      </c>
      <c r="AO50" s="144">
        <v>0</v>
      </c>
      <c r="AP50" s="144">
        <v>0</v>
      </c>
      <c r="AQ50" s="144">
        <v>0</v>
      </c>
      <c r="AR50" s="144">
        <v>0</v>
      </c>
      <c r="AS50" s="144">
        <v>0</v>
      </c>
      <c r="AT50" s="144">
        <v>0</v>
      </c>
      <c r="AU50" s="144">
        <v>0</v>
      </c>
      <c r="AV50" s="144">
        <v>0</v>
      </c>
      <c r="AW50" s="144">
        <v>0</v>
      </c>
      <c r="AX50" s="143"/>
    </row>
    <row r="51" spans="18:50" x14ac:dyDescent="0.25">
      <c r="R51" s="141">
        <v>2731.9595185567591</v>
      </c>
      <c r="S51" s="144">
        <v>0</v>
      </c>
      <c r="T51" s="144">
        <v>0</v>
      </c>
      <c r="U51" s="144">
        <v>0</v>
      </c>
      <c r="V51" s="144">
        <v>0</v>
      </c>
      <c r="W51" s="144">
        <v>0</v>
      </c>
      <c r="X51" s="144">
        <v>0</v>
      </c>
      <c r="Y51" s="144">
        <v>0</v>
      </c>
      <c r="Z51" s="144">
        <v>0</v>
      </c>
      <c r="AA51" s="144">
        <v>0</v>
      </c>
      <c r="AB51" s="144">
        <v>0</v>
      </c>
      <c r="AC51" s="144">
        <v>0</v>
      </c>
      <c r="AD51" s="144">
        <v>0</v>
      </c>
      <c r="AE51" s="144">
        <v>0</v>
      </c>
      <c r="AF51" s="144">
        <v>0</v>
      </c>
      <c r="AG51" s="144">
        <v>0</v>
      </c>
      <c r="AH51" s="144">
        <v>0</v>
      </c>
      <c r="AI51" s="144">
        <v>0</v>
      </c>
      <c r="AJ51" s="144">
        <v>0</v>
      </c>
      <c r="AK51" s="144">
        <v>0</v>
      </c>
      <c r="AL51" s="144">
        <v>0</v>
      </c>
      <c r="AM51" s="144">
        <v>0</v>
      </c>
      <c r="AN51" s="144">
        <v>0</v>
      </c>
      <c r="AO51" s="144">
        <v>0</v>
      </c>
      <c r="AP51" s="144">
        <v>0</v>
      </c>
      <c r="AQ51" s="144">
        <v>0</v>
      </c>
      <c r="AR51" s="144">
        <v>0</v>
      </c>
      <c r="AS51" s="144">
        <v>0</v>
      </c>
      <c r="AT51" s="144">
        <v>0</v>
      </c>
      <c r="AU51" s="144">
        <v>0</v>
      </c>
      <c r="AV51" s="144">
        <v>0</v>
      </c>
      <c r="AW51" s="144">
        <v>0</v>
      </c>
      <c r="AX51" s="143"/>
    </row>
    <row r="52" spans="18:50" x14ac:dyDescent="0.25">
      <c r="R52" s="141">
        <v>2788.8753418600245</v>
      </c>
      <c r="S52" s="144">
        <v>0</v>
      </c>
      <c r="T52" s="144">
        <v>0</v>
      </c>
      <c r="U52" s="144">
        <v>0</v>
      </c>
      <c r="V52" s="144">
        <v>0</v>
      </c>
      <c r="W52" s="144">
        <v>0</v>
      </c>
      <c r="X52" s="144">
        <v>0</v>
      </c>
      <c r="Y52" s="144">
        <v>0</v>
      </c>
      <c r="Z52" s="144">
        <v>0</v>
      </c>
      <c r="AA52" s="144">
        <v>0</v>
      </c>
      <c r="AB52" s="144">
        <v>0</v>
      </c>
      <c r="AC52" s="144">
        <v>0</v>
      </c>
      <c r="AD52" s="144">
        <v>0</v>
      </c>
      <c r="AE52" s="144">
        <v>0</v>
      </c>
      <c r="AF52" s="144">
        <v>0</v>
      </c>
      <c r="AG52" s="144">
        <v>0</v>
      </c>
      <c r="AH52" s="144">
        <v>0</v>
      </c>
      <c r="AI52" s="144">
        <v>0</v>
      </c>
      <c r="AJ52" s="144">
        <v>0</v>
      </c>
      <c r="AK52" s="144">
        <v>0</v>
      </c>
      <c r="AL52" s="144">
        <v>0</v>
      </c>
      <c r="AM52" s="144">
        <v>0</v>
      </c>
      <c r="AN52" s="144">
        <v>0</v>
      </c>
      <c r="AO52" s="144">
        <v>0</v>
      </c>
      <c r="AP52" s="144">
        <v>0</v>
      </c>
      <c r="AQ52" s="144">
        <v>0</v>
      </c>
      <c r="AR52" s="144">
        <v>0</v>
      </c>
      <c r="AS52" s="144">
        <v>0</v>
      </c>
      <c r="AT52" s="144">
        <v>0</v>
      </c>
      <c r="AU52" s="144">
        <v>0</v>
      </c>
      <c r="AV52" s="144">
        <v>0</v>
      </c>
      <c r="AW52" s="144">
        <v>0</v>
      </c>
      <c r="AX52" s="143"/>
    </row>
    <row r="53" spans="18:50" x14ac:dyDescent="0.25">
      <c r="R53" s="141">
        <v>2845.7911651632903</v>
      </c>
      <c r="S53" s="144">
        <v>0</v>
      </c>
      <c r="T53" s="144">
        <v>0</v>
      </c>
      <c r="U53" s="144">
        <v>0</v>
      </c>
      <c r="V53" s="144">
        <v>0</v>
      </c>
      <c r="W53" s="144">
        <v>0</v>
      </c>
      <c r="X53" s="144">
        <v>0</v>
      </c>
      <c r="Y53" s="144">
        <v>0</v>
      </c>
      <c r="Z53" s="144">
        <v>0</v>
      </c>
      <c r="AA53" s="144">
        <v>0</v>
      </c>
      <c r="AB53" s="144">
        <v>0</v>
      </c>
      <c r="AC53" s="144">
        <v>0</v>
      </c>
      <c r="AD53" s="144">
        <v>0</v>
      </c>
      <c r="AE53" s="144">
        <v>0</v>
      </c>
      <c r="AF53" s="144">
        <v>0</v>
      </c>
      <c r="AG53" s="144">
        <v>0</v>
      </c>
      <c r="AH53" s="144">
        <v>0</v>
      </c>
      <c r="AI53" s="144">
        <v>0</v>
      </c>
      <c r="AJ53" s="144">
        <v>0</v>
      </c>
      <c r="AK53" s="144">
        <v>0</v>
      </c>
      <c r="AL53" s="144">
        <v>0</v>
      </c>
      <c r="AM53" s="144">
        <v>0</v>
      </c>
      <c r="AN53" s="144">
        <v>0</v>
      </c>
      <c r="AO53" s="144">
        <v>0</v>
      </c>
      <c r="AP53" s="144">
        <v>0</v>
      </c>
      <c r="AQ53" s="144">
        <v>0</v>
      </c>
      <c r="AR53" s="144">
        <v>0</v>
      </c>
      <c r="AS53" s="144">
        <v>0</v>
      </c>
      <c r="AT53" s="144">
        <v>0</v>
      </c>
      <c r="AU53" s="144">
        <v>0</v>
      </c>
      <c r="AV53" s="144">
        <v>0</v>
      </c>
      <c r="AW53" s="144">
        <v>0</v>
      </c>
      <c r="AX53" s="143"/>
    </row>
    <row r="54" spans="18:50" x14ac:dyDescent="0.25">
      <c r="R54" s="141">
        <v>2902.7069884665561</v>
      </c>
      <c r="S54" s="144">
        <v>0</v>
      </c>
      <c r="T54" s="144">
        <v>0</v>
      </c>
      <c r="U54" s="144">
        <v>0</v>
      </c>
      <c r="V54" s="144">
        <v>0</v>
      </c>
      <c r="W54" s="144">
        <v>0</v>
      </c>
      <c r="X54" s="144">
        <v>0</v>
      </c>
      <c r="Y54" s="144">
        <v>0</v>
      </c>
      <c r="Z54" s="144">
        <v>0</v>
      </c>
      <c r="AA54" s="144">
        <v>0</v>
      </c>
      <c r="AB54" s="144">
        <v>0</v>
      </c>
      <c r="AC54" s="144">
        <v>0</v>
      </c>
      <c r="AD54" s="144">
        <v>0</v>
      </c>
      <c r="AE54" s="144">
        <v>0</v>
      </c>
      <c r="AF54" s="144">
        <v>0</v>
      </c>
      <c r="AG54" s="144">
        <v>0</v>
      </c>
      <c r="AH54" s="144">
        <v>0</v>
      </c>
      <c r="AI54" s="144">
        <v>0</v>
      </c>
      <c r="AJ54" s="144">
        <v>0</v>
      </c>
      <c r="AK54" s="144">
        <v>0</v>
      </c>
      <c r="AL54" s="144">
        <v>0</v>
      </c>
      <c r="AM54" s="144">
        <v>0</v>
      </c>
      <c r="AN54" s="144">
        <v>0</v>
      </c>
      <c r="AO54" s="144">
        <v>0</v>
      </c>
      <c r="AP54" s="144">
        <v>0</v>
      </c>
      <c r="AQ54" s="144">
        <v>0</v>
      </c>
      <c r="AR54" s="144">
        <v>0</v>
      </c>
      <c r="AS54" s="144">
        <v>0</v>
      </c>
      <c r="AT54" s="144">
        <v>0</v>
      </c>
      <c r="AU54" s="144">
        <v>0</v>
      </c>
      <c r="AV54" s="144">
        <v>0</v>
      </c>
      <c r="AW54" s="144">
        <v>0</v>
      </c>
      <c r="AX54" s="143"/>
    </row>
    <row r="55" spans="18:50" x14ac:dyDescent="0.25">
      <c r="R55" s="141">
        <v>2959.622811769822</v>
      </c>
      <c r="S55" s="144">
        <v>0</v>
      </c>
      <c r="T55" s="144">
        <v>0</v>
      </c>
      <c r="U55" s="144">
        <v>0</v>
      </c>
      <c r="V55" s="144">
        <v>0</v>
      </c>
      <c r="W55" s="144">
        <v>0</v>
      </c>
      <c r="X55" s="144">
        <v>0</v>
      </c>
      <c r="Y55" s="144">
        <v>0</v>
      </c>
      <c r="Z55" s="144">
        <v>0</v>
      </c>
      <c r="AA55" s="144">
        <v>0</v>
      </c>
      <c r="AB55" s="144">
        <v>0</v>
      </c>
      <c r="AC55" s="144">
        <v>0</v>
      </c>
      <c r="AD55" s="144">
        <v>0</v>
      </c>
      <c r="AE55" s="144">
        <v>0</v>
      </c>
      <c r="AF55" s="144">
        <v>0</v>
      </c>
      <c r="AG55" s="144">
        <v>0</v>
      </c>
      <c r="AH55" s="144">
        <v>0</v>
      </c>
      <c r="AI55" s="144">
        <v>0</v>
      </c>
      <c r="AJ55" s="144">
        <v>0</v>
      </c>
      <c r="AK55" s="144">
        <v>0</v>
      </c>
      <c r="AL55" s="144">
        <v>0</v>
      </c>
      <c r="AM55" s="144">
        <v>0</v>
      </c>
      <c r="AN55" s="144">
        <v>0</v>
      </c>
      <c r="AO55" s="144">
        <v>0</v>
      </c>
      <c r="AP55" s="144">
        <v>0</v>
      </c>
      <c r="AQ55" s="144">
        <v>0</v>
      </c>
      <c r="AR55" s="144">
        <v>0</v>
      </c>
      <c r="AS55" s="144">
        <v>0</v>
      </c>
      <c r="AT55" s="144">
        <v>0</v>
      </c>
      <c r="AU55" s="144">
        <v>0</v>
      </c>
      <c r="AV55" s="144">
        <v>0</v>
      </c>
      <c r="AW55" s="144">
        <v>0</v>
      </c>
      <c r="AX55" s="143"/>
    </row>
    <row r="56" spans="18:50" x14ac:dyDescent="0.25">
      <c r="R56" s="141">
        <v>3016.5386350730882</v>
      </c>
      <c r="S56" s="144">
        <v>0</v>
      </c>
      <c r="T56" s="144">
        <v>0</v>
      </c>
      <c r="U56" s="144">
        <v>0</v>
      </c>
      <c r="V56" s="144">
        <v>0</v>
      </c>
      <c r="W56" s="144">
        <v>0</v>
      </c>
      <c r="X56" s="144">
        <v>0</v>
      </c>
      <c r="Y56" s="144">
        <v>0</v>
      </c>
      <c r="Z56" s="144">
        <v>0</v>
      </c>
      <c r="AA56" s="144">
        <v>0</v>
      </c>
      <c r="AB56" s="144">
        <v>0</v>
      </c>
      <c r="AC56" s="144">
        <v>0</v>
      </c>
      <c r="AD56" s="144">
        <v>0</v>
      </c>
      <c r="AE56" s="144">
        <v>0</v>
      </c>
      <c r="AF56" s="144">
        <v>0</v>
      </c>
      <c r="AG56" s="144">
        <v>0</v>
      </c>
      <c r="AH56" s="144">
        <v>0</v>
      </c>
      <c r="AI56" s="144">
        <v>0</v>
      </c>
      <c r="AJ56" s="144">
        <v>0</v>
      </c>
      <c r="AK56" s="144">
        <v>0</v>
      </c>
      <c r="AL56" s="144">
        <v>0</v>
      </c>
      <c r="AM56" s="144">
        <v>0</v>
      </c>
      <c r="AN56" s="144">
        <v>0</v>
      </c>
      <c r="AO56" s="144">
        <v>0</v>
      </c>
      <c r="AP56" s="144">
        <v>0</v>
      </c>
      <c r="AQ56" s="144">
        <v>0</v>
      </c>
      <c r="AR56" s="144">
        <v>0</v>
      </c>
      <c r="AS56" s="144">
        <v>0</v>
      </c>
      <c r="AT56" s="144">
        <v>0</v>
      </c>
      <c r="AU56" s="144">
        <v>0</v>
      </c>
      <c r="AV56" s="144">
        <v>0</v>
      </c>
      <c r="AW56" s="144">
        <v>0</v>
      </c>
      <c r="AX56" s="143"/>
    </row>
    <row r="57" spans="18:50" x14ac:dyDescent="0.25">
      <c r="R57" s="141">
        <v>3073.4544583763536</v>
      </c>
      <c r="S57" s="144">
        <v>0</v>
      </c>
      <c r="T57" s="144">
        <v>0</v>
      </c>
      <c r="U57" s="144">
        <v>0</v>
      </c>
      <c r="V57" s="144">
        <v>0</v>
      </c>
      <c r="W57" s="144">
        <v>0</v>
      </c>
      <c r="X57" s="144">
        <v>0</v>
      </c>
      <c r="Y57" s="144">
        <v>0</v>
      </c>
      <c r="Z57" s="144">
        <v>0</v>
      </c>
      <c r="AA57" s="144">
        <v>0</v>
      </c>
      <c r="AB57" s="144">
        <v>0</v>
      </c>
      <c r="AC57" s="144">
        <v>0</v>
      </c>
      <c r="AD57" s="144">
        <v>0</v>
      </c>
      <c r="AE57" s="144">
        <v>0</v>
      </c>
      <c r="AF57" s="144">
        <v>0</v>
      </c>
      <c r="AG57" s="144">
        <v>0</v>
      </c>
      <c r="AH57" s="144">
        <v>0</v>
      </c>
      <c r="AI57" s="144">
        <v>0</v>
      </c>
      <c r="AJ57" s="144">
        <v>0</v>
      </c>
      <c r="AK57" s="144">
        <v>0</v>
      </c>
      <c r="AL57" s="144">
        <v>0</v>
      </c>
      <c r="AM57" s="144">
        <v>0</v>
      </c>
      <c r="AN57" s="144">
        <v>0</v>
      </c>
      <c r="AO57" s="144">
        <v>0</v>
      </c>
      <c r="AP57" s="144">
        <v>0</v>
      </c>
      <c r="AQ57" s="144">
        <v>0</v>
      </c>
      <c r="AR57" s="144">
        <v>0</v>
      </c>
      <c r="AS57" s="144">
        <v>0</v>
      </c>
      <c r="AT57" s="144">
        <v>0</v>
      </c>
      <c r="AU57" s="144">
        <v>0</v>
      </c>
      <c r="AV57" s="144">
        <v>0</v>
      </c>
      <c r="AW57" s="144">
        <v>0</v>
      </c>
      <c r="AX57" s="143"/>
    </row>
    <row r="58" spans="18:50" x14ac:dyDescent="0.25">
      <c r="R58" s="141">
        <v>3130.370281679619</v>
      </c>
      <c r="S58" s="144">
        <v>0</v>
      </c>
      <c r="T58" s="144">
        <v>0</v>
      </c>
      <c r="U58" s="144">
        <v>0</v>
      </c>
      <c r="V58" s="144">
        <v>0</v>
      </c>
      <c r="W58" s="144">
        <v>0</v>
      </c>
      <c r="X58" s="144">
        <v>0</v>
      </c>
      <c r="Y58" s="144">
        <v>0</v>
      </c>
      <c r="Z58" s="144">
        <v>0</v>
      </c>
      <c r="AA58" s="144">
        <v>0</v>
      </c>
      <c r="AB58" s="144">
        <v>0</v>
      </c>
      <c r="AC58" s="144">
        <v>0</v>
      </c>
      <c r="AD58" s="144">
        <v>0</v>
      </c>
      <c r="AE58" s="144">
        <v>0</v>
      </c>
      <c r="AF58" s="144">
        <v>0</v>
      </c>
      <c r="AG58" s="144">
        <v>0</v>
      </c>
      <c r="AH58" s="144">
        <v>0</v>
      </c>
      <c r="AI58" s="144">
        <v>0</v>
      </c>
      <c r="AJ58" s="144">
        <v>0</v>
      </c>
      <c r="AK58" s="144">
        <v>0</v>
      </c>
      <c r="AL58" s="144">
        <v>0</v>
      </c>
      <c r="AM58" s="144">
        <v>0</v>
      </c>
      <c r="AN58" s="144">
        <v>0</v>
      </c>
      <c r="AO58" s="144">
        <v>0</v>
      </c>
      <c r="AP58" s="144">
        <v>0</v>
      </c>
      <c r="AQ58" s="144">
        <v>0</v>
      </c>
      <c r="AR58" s="144">
        <v>0</v>
      </c>
      <c r="AS58" s="144">
        <v>0</v>
      </c>
      <c r="AT58" s="144">
        <v>0</v>
      </c>
      <c r="AU58" s="144">
        <v>0</v>
      </c>
      <c r="AV58" s="144">
        <v>0</v>
      </c>
      <c r="AW58" s="144">
        <v>0</v>
      </c>
      <c r="AX58" s="143"/>
    </row>
    <row r="59" spans="18:50" x14ac:dyDescent="0.25">
      <c r="R59" s="141">
        <v>3187.2861049828853</v>
      </c>
      <c r="S59" s="144">
        <v>0</v>
      </c>
      <c r="T59" s="144">
        <v>0</v>
      </c>
      <c r="U59" s="144">
        <v>0</v>
      </c>
      <c r="V59" s="144">
        <v>0</v>
      </c>
      <c r="W59" s="144">
        <v>0</v>
      </c>
      <c r="X59" s="144">
        <v>0</v>
      </c>
      <c r="Y59" s="144">
        <v>0</v>
      </c>
      <c r="Z59" s="144">
        <v>0</v>
      </c>
      <c r="AA59" s="144">
        <v>0</v>
      </c>
      <c r="AB59" s="144">
        <v>0</v>
      </c>
      <c r="AC59" s="144">
        <v>0</v>
      </c>
      <c r="AD59" s="144">
        <v>0</v>
      </c>
      <c r="AE59" s="144">
        <v>0</v>
      </c>
      <c r="AF59" s="144">
        <v>0</v>
      </c>
      <c r="AG59" s="144">
        <v>0</v>
      </c>
      <c r="AH59" s="144">
        <v>0</v>
      </c>
      <c r="AI59" s="144">
        <v>0</v>
      </c>
      <c r="AJ59" s="144">
        <v>0</v>
      </c>
      <c r="AK59" s="144">
        <v>0</v>
      </c>
      <c r="AL59" s="144">
        <v>0</v>
      </c>
      <c r="AM59" s="144">
        <v>0</v>
      </c>
      <c r="AN59" s="144">
        <v>0</v>
      </c>
      <c r="AO59" s="144">
        <v>0</v>
      </c>
      <c r="AP59" s="144">
        <v>0</v>
      </c>
      <c r="AQ59" s="144">
        <v>0</v>
      </c>
      <c r="AR59" s="144">
        <v>0</v>
      </c>
      <c r="AS59" s="144">
        <v>0</v>
      </c>
      <c r="AT59" s="144">
        <v>0</v>
      </c>
      <c r="AU59" s="144">
        <v>0</v>
      </c>
      <c r="AV59" s="144">
        <v>0</v>
      </c>
      <c r="AW59" s="144">
        <v>0</v>
      </c>
      <c r="AX59" s="143"/>
    </row>
    <row r="60" spans="18:50" x14ac:dyDescent="0.25">
      <c r="R60" s="141">
        <v>3244.2019282861506</v>
      </c>
      <c r="S60" s="144">
        <v>0</v>
      </c>
      <c r="T60" s="144">
        <v>0</v>
      </c>
      <c r="U60" s="144">
        <v>0</v>
      </c>
      <c r="V60" s="144">
        <v>0</v>
      </c>
      <c r="W60" s="144">
        <v>0</v>
      </c>
      <c r="X60" s="144">
        <v>0</v>
      </c>
      <c r="Y60" s="144">
        <v>0</v>
      </c>
      <c r="Z60" s="144">
        <v>0</v>
      </c>
      <c r="AA60" s="144">
        <v>0</v>
      </c>
      <c r="AB60" s="144">
        <v>0</v>
      </c>
      <c r="AC60" s="144">
        <v>0</v>
      </c>
      <c r="AD60" s="144">
        <v>0</v>
      </c>
      <c r="AE60" s="144">
        <v>0</v>
      </c>
      <c r="AF60" s="144">
        <v>0</v>
      </c>
      <c r="AG60" s="144">
        <v>0</v>
      </c>
      <c r="AH60" s="144">
        <v>0</v>
      </c>
      <c r="AI60" s="144">
        <v>0</v>
      </c>
      <c r="AJ60" s="144">
        <v>0</v>
      </c>
      <c r="AK60" s="144">
        <v>0</v>
      </c>
      <c r="AL60" s="144">
        <v>0</v>
      </c>
      <c r="AM60" s="144">
        <v>0</v>
      </c>
      <c r="AN60" s="144">
        <v>0</v>
      </c>
      <c r="AO60" s="144">
        <v>0</v>
      </c>
      <c r="AP60" s="144">
        <v>0</v>
      </c>
      <c r="AQ60" s="144">
        <v>0</v>
      </c>
      <c r="AR60" s="144">
        <v>0</v>
      </c>
      <c r="AS60" s="144">
        <v>0</v>
      </c>
      <c r="AT60" s="144">
        <v>0</v>
      </c>
      <c r="AU60" s="144">
        <v>0</v>
      </c>
      <c r="AV60" s="144">
        <v>0</v>
      </c>
      <c r="AW60" s="144">
        <v>0</v>
      </c>
      <c r="AX60" s="143"/>
    </row>
    <row r="61" spans="18:50" x14ac:dyDescent="0.25">
      <c r="R61" s="141">
        <v>3301.1177515894169</v>
      </c>
      <c r="S61" s="144">
        <v>0</v>
      </c>
      <c r="T61" s="144">
        <v>0</v>
      </c>
      <c r="U61" s="144">
        <v>0</v>
      </c>
      <c r="V61" s="144">
        <v>0</v>
      </c>
      <c r="W61" s="144">
        <v>0</v>
      </c>
      <c r="X61" s="144">
        <v>0</v>
      </c>
      <c r="Y61" s="144">
        <v>0</v>
      </c>
      <c r="Z61" s="144">
        <v>0</v>
      </c>
      <c r="AA61" s="144">
        <v>0</v>
      </c>
      <c r="AB61" s="144">
        <v>0</v>
      </c>
      <c r="AC61" s="144">
        <v>0</v>
      </c>
      <c r="AD61" s="144">
        <v>0</v>
      </c>
      <c r="AE61" s="144">
        <v>0</v>
      </c>
      <c r="AF61" s="144">
        <v>0</v>
      </c>
      <c r="AG61" s="144">
        <v>0</v>
      </c>
      <c r="AH61" s="144">
        <v>0</v>
      </c>
      <c r="AI61" s="144">
        <v>0</v>
      </c>
      <c r="AJ61" s="144">
        <v>0</v>
      </c>
      <c r="AK61" s="144">
        <v>0</v>
      </c>
      <c r="AL61" s="144">
        <v>0</v>
      </c>
      <c r="AM61" s="144">
        <v>0</v>
      </c>
      <c r="AN61" s="144">
        <v>0</v>
      </c>
      <c r="AO61" s="144">
        <v>0</v>
      </c>
      <c r="AP61" s="144">
        <v>0</v>
      </c>
      <c r="AQ61" s="144">
        <v>0</v>
      </c>
      <c r="AR61" s="144">
        <v>0</v>
      </c>
      <c r="AS61" s="144">
        <v>0</v>
      </c>
      <c r="AT61" s="144">
        <v>0</v>
      </c>
      <c r="AU61" s="144">
        <v>0</v>
      </c>
      <c r="AV61" s="144">
        <v>0</v>
      </c>
      <c r="AW61" s="144">
        <v>0</v>
      </c>
      <c r="AX61" s="143"/>
    </row>
    <row r="62" spans="18:50" x14ac:dyDescent="0.25">
      <c r="R62" s="141">
        <v>3358.0335748926823</v>
      </c>
      <c r="S62" s="144">
        <v>0</v>
      </c>
      <c r="T62" s="144">
        <v>0</v>
      </c>
      <c r="U62" s="144">
        <v>0</v>
      </c>
      <c r="V62" s="144">
        <v>0</v>
      </c>
      <c r="W62" s="144">
        <v>0</v>
      </c>
      <c r="X62" s="144">
        <v>0</v>
      </c>
      <c r="Y62" s="144">
        <v>0</v>
      </c>
      <c r="Z62" s="144">
        <v>0</v>
      </c>
      <c r="AA62" s="144">
        <v>0</v>
      </c>
      <c r="AB62" s="144">
        <v>0</v>
      </c>
      <c r="AC62" s="144">
        <v>0</v>
      </c>
      <c r="AD62" s="144">
        <v>0</v>
      </c>
      <c r="AE62" s="144">
        <v>0</v>
      </c>
      <c r="AF62" s="144">
        <v>0</v>
      </c>
      <c r="AG62" s="144">
        <v>0</v>
      </c>
      <c r="AH62" s="144">
        <v>0</v>
      </c>
      <c r="AI62" s="144">
        <v>0</v>
      </c>
      <c r="AJ62" s="144">
        <v>0</v>
      </c>
      <c r="AK62" s="144">
        <v>0</v>
      </c>
      <c r="AL62" s="144">
        <v>0</v>
      </c>
      <c r="AM62" s="144">
        <v>0</v>
      </c>
      <c r="AN62" s="144">
        <v>0</v>
      </c>
      <c r="AO62" s="144">
        <v>0</v>
      </c>
      <c r="AP62" s="144">
        <v>0</v>
      </c>
      <c r="AQ62" s="144">
        <v>0</v>
      </c>
      <c r="AR62" s="144">
        <v>0</v>
      </c>
      <c r="AS62" s="144">
        <v>0</v>
      </c>
      <c r="AT62" s="144">
        <v>0</v>
      </c>
      <c r="AU62" s="144">
        <v>0</v>
      </c>
      <c r="AV62" s="144">
        <v>0</v>
      </c>
      <c r="AW62" s="144">
        <v>0</v>
      </c>
      <c r="AX62" s="143"/>
    </row>
    <row r="63" spans="18:50" x14ac:dyDescent="0.25">
      <c r="R63" s="141">
        <v>3500</v>
      </c>
      <c r="S63" s="144"/>
      <c r="T63" s="144"/>
      <c r="U63" s="144"/>
      <c r="V63" s="144"/>
      <c r="W63" s="144"/>
      <c r="X63" s="144"/>
      <c r="Y63" s="144"/>
      <c r="Z63" s="144"/>
      <c r="AA63" s="144"/>
      <c r="AB63" s="144"/>
      <c r="AC63" s="144"/>
      <c r="AD63" s="144"/>
      <c r="AE63" s="144"/>
      <c r="AF63" s="144"/>
      <c r="AG63" s="144"/>
      <c r="AH63" s="144"/>
      <c r="AI63" s="144"/>
      <c r="AJ63" s="144"/>
      <c r="AK63" s="144"/>
      <c r="AL63" s="144"/>
      <c r="AM63" s="144"/>
      <c r="AN63" s="144"/>
      <c r="AO63" s="144"/>
      <c r="AP63" s="144"/>
      <c r="AQ63" s="144"/>
      <c r="AR63" s="144"/>
      <c r="AS63" s="144"/>
      <c r="AT63" s="144"/>
      <c r="AU63" s="144"/>
      <c r="AV63" s="144"/>
      <c r="AW63" s="144"/>
      <c r="AX63" s="143"/>
    </row>
    <row r="64" spans="18:50" x14ac:dyDescent="0.25">
      <c r="R64" s="139"/>
    </row>
    <row r="65" spans="17:50" x14ac:dyDescent="0.25">
      <c r="R65" s="139"/>
    </row>
    <row r="66" spans="17:50" x14ac:dyDescent="0.25">
      <c r="R66" s="139"/>
    </row>
    <row r="67" spans="17:50" x14ac:dyDescent="0.25">
      <c r="R67" s="139"/>
    </row>
    <row r="68" spans="17:50" x14ac:dyDescent="0.25">
      <c r="R68" s="139"/>
    </row>
    <row r="69" spans="17:50" x14ac:dyDescent="0.25">
      <c r="Q69" s="14" t="s">
        <v>355</v>
      </c>
      <c r="R69" s="139"/>
      <c r="S69" t="s">
        <v>288</v>
      </c>
    </row>
    <row r="70" spans="17:50" x14ac:dyDescent="0.25">
      <c r="R70" s="141"/>
      <c r="S70" s="146">
        <f>S2</f>
        <v>0</v>
      </c>
      <c r="T70" s="146">
        <f t="shared" ref="T70:AW70" si="0">T2</f>
        <v>0.54861937440778163</v>
      </c>
      <c r="U70" s="146">
        <f t="shared" si="0"/>
        <v>1.2215284824543391</v>
      </c>
      <c r="V70" s="146">
        <f t="shared" si="0"/>
        <v>1.8944375905008966</v>
      </c>
      <c r="W70" s="146">
        <f t="shared" si="0"/>
        <v>2.5673466985474538</v>
      </c>
      <c r="X70" s="146">
        <f t="shared" si="0"/>
        <v>3.240255806594011</v>
      </c>
      <c r="Y70" s="146">
        <f t="shared" si="0"/>
        <v>3.9131649146405678</v>
      </c>
      <c r="Z70" s="146">
        <f t="shared" si="0"/>
        <v>4.5860740226871259</v>
      </c>
      <c r="AA70" s="146">
        <f t="shared" si="0"/>
        <v>5.2589831307336823</v>
      </c>
      <c r="AB70" s="146">
        <f t="shared" si="0"/>
        <v>5.9298016445403494</v>
      </c>
      <c r="AC70" s="146">
        <f t="shared" si="0"/>
        <v>6.5910900552124971</v>
      </c>
      <c r="AD70" s="146">
        <f t="shared" si="0"/>
        <v>7.2421904817248244</v>
      </c>
      <c r="AE70" s="146">
        <f t="shared" si="0"/>
        <v>7.8831029240773267</v>
      </c>
      <c r="AF70" s="146">
        <f t="shared" si="0"/>
        <v>8.5138273822700103</v>
      </c>
      <c r="AG70" s="146">
        <f t="shared" si="0"/>
        <v>9.1343638563028691</v>
      </c>
      <c r="AH70" s="146">
        <f t="shared" si="0"/>
        <v>9.7447123461759038</v>
      </c>
      <c r="AI70" s="146">
        <f t="shared" si="0"/>
        <v>10.344872851889122</v>
      </c>
      <c r="AJ70" s="146">
        <f t="shared" si="0"/>
        <v>10.934884056391423</v>
      </c>
      <c r="AK70" s="146">
        <f t="shared" si="0"/>
        <v>11.516198138590029</v>
      </c>
      <c r="AL70" s="146">
        <f t="shared" si="0"/>
        <v>12.089552858163778</v>
      </c>
      <c r="AM70" s="146">
        <f t="shared" si="0"/>
        <v>12.654948215112661</v>
      </c>
      <c r="AN70" s="146">
        <f t="shared" si="0"/>
        <v>13.212384209436692</v>
      </c>
      <c r="AO70" s="146">
        <f t="shared" si="0"/>
        <v>13.761860841135855</v>
      </c>
      <c r="AP70" s="146">
        <f t="shared" si="0"/>
        <v>14.303378110210154</v>
      </c>
      <c r="AQ70" s="146">
        <f t="shared" si="0"/>
        <v>14.836936016659598</v>
      </c>
      <c r="AR70" s="146">
        <f t="shared" si="0"/>
        <v>15.362534560484178</v>
      </c>
      <c r="AS70" s="146">
        <f t="shared" si="0"/>
        <v>15.880173741683901</v>
      </c>
      <c r="AT70" s="146">
        <f t="shared" si="0"/>
        <v>16.389853560258761</v>
      </c>
      <c r="AU70" s="146">
        <f t="shared" si="0"/>
        <v>16.891574016208757</v>
      </c>
      <c r="AV70" s="146">
        <f t="shared" si="0"/>
        <v>17.385335109533898</v>
      </c>
      <c r="AW70" s="146">
        <f t="shared" si="0"/>
        <v>17.871136840234175</v>
      </c>
    </row>
    <row r="71" spans="17:50" x14ac:dyDescent="0.25">
      <c r="Q71" t="s">
        <v>287</v>
      </c>
      <c r="R71" s="141"/>
      <c r="S71" s="142"/>
      <c r="T71" s="142"/>
      <c r="U71" s="142"/>
      <c r="V71" s="142"/>
      <c r="W71" s="142"/>
      <c r="X71" s="142"/>
      <c r="Y71" s="142"/>
      <c r="Z71" s="142"/>
      <c r="AA71" s="142"/>
      <c r="AB71" s="142"/>
      <c r="AC71" s="142"/>
      <c r="AD71" s="142"/>
      <c r="AE71" s="142"/>
      <c r="AF71" s="142"/>
      <c r="AG71" s="142"/>
      <c r="AH71" s="142"/>
      <c r="AI71" s="142"/>
      <c r="AJ71" s="142"/>
      <c r="AK71" s="142"/>
      <c r="AL71" s="142"/>
      <c r="AM71" s="142"/>
      <c r="AN71" s="142"/>
      <c r="AO71" s="142"/>
      <c r="AP71" s="142"/>
      <c r="AQ71" s="142"/>
      <c r="AR71" s="142"/>
      <c r="AS71" s="142"/>
      <c r="AT71" s="142"/>
      <c r="AU71" s="142"/>
      <c r="AV71" s="142"/>
      <c r="AW71" s="142"/>
      <c r="AX71" s="142"/>
    </row>
    <row r="72" spans="17:50" x14ac:dyDescent="0.25">
      <c r="R72" s="141">
        <f>R3</f>
        <v>0</v>
      </c>
      <c r="S72" s="142">
        <v>0</v>
      </c>
      <c r="T72" s="142">
        <v>0</v>
      </c>
      <c r="U72" s="142">
        <v>0</v>
      </c>
      <c r="V72" s="142">
        <v>0</v>
      </c>
      <c r="W72" s="142">
        <v>0</v>
      </c>
      <c r="X72" s="142">
        <v>0</v>
      </c>
      <c r="Y72" s="142">
        <v>0</v>
      </c>
      <c r="Z72" s="142">
        <v>0</v>
      </c>
      <c r="AA72" s="142">
        <v>0</v>
      </c>
      <c r="AB72" s="142">
        <v>0</v>
      </c>
      <c r="AC72" s="142">
        <v>0</v>
      </c>
      <c r="AD72" s="142">
        <v>0</v>
      </c>
      <c r="AE72" s="142">
        <v>0</v>
      </c>
      <c r="AF72" s="142">
        <v>0</v>
      </c>
      <c r="AG72" s="142">
        <v>0</v>
      </c>
      <c r="AH72" s="142">
        <v>0</v>
      </c>
      <c r="AI72" s="142">
        <v>0</v>
      </c>
      <c r="AJ72" s="142">
        <v>0</v>
      </c>
      <c r="AK72" s="142">
        <v>0</v>
      </c>
      <c r="AL72" s="142">
        <v>0</v>
      </c>
      <c r="AM72" s="142">
        <v>0</v>
      </c>
      <c r="AN72" s="142">
        <v>0</v>
      </c>
      <c r="AO72" s="142">
        <v>0</v>
      </c>
      <c r="AP72" s="142">
        <v>0</v>
      </c>
      <c r="AQ72" s="142">
        <v>0</v>
      </c>
      <c r="AR72" s="142">
        <v>0</v>
      </c>
      <c r="AS72" s="142">
        <v>0</v>
      </c>
      <c r="AT72" s="142">
        <v>0</v>
      </c>
      <c r="AU72" s="142">
        <v>0</v>
      </c>
      <c r="AV72" s="142">
        <v>0</v>
      </c>
      <c r="AW72" s="142">
        <v>0</v>
      </c>
      <c r="AX72" s="142"/>
    </row>
    <row r="73" spans="17:50" x14ac:dyDescent="0.25">
      <c r="R73" s="141">
        <f t="shared" ref="R73:R132" si="1">R4</f>
        <v>56.915823303265803</v>
      </c>
      <c r="S73" s="142">
        <v>0</v>
      </c>
      <c r="T73" s="142">
        <v>0</v>
      </c>
      <c r="U73" s="142">
        <v>0</v>
      </c>
      <c r="V73" s="142">
        <v>0</v>
      </c>
      <c r="W73" s="142">
        <v>0</v>
      </c>
      <c r="X73" s="142">
        <v>0</v>
      </c>
      <c r="Y73" s="142">
        <v>0</v>
      </c>
      <c r="Z73" s="142">
        <v>0</v>
      </c>
      <c r="AA73" s="142">
        <v>0</v>
      </c>
      <c r="AB73" s="142">
        <v>0</v>
      </c>
      <c r="AC73" s="142">
        <v>0</v>
      </c>
      <c r="AD73" s="142">
        <v>0</v>
      </c>
      <c r="AE73" s="142">
        <v>0</v>
      </c>
      <c r="AF73" s="142">
        <v>0</v>
      </c>
      <c r="AG73" s="142">
        <v>0</v>
      </c>
      <c r="AH73" s="142">
        <v>0</v>
      </c>
      <c r="AI73" s="142">
        <v>0</v>
      </c>
      <c r="AJ73" s="142">
        <v>0</v>
      </c>
      <c r="AK73" s="142">
        <v>0</v>
      </c>
      <c r="AL73" s="142">
        <v>0</v>
      </c>
      <c r="AM73" s="142">
        <v>0</v>
      </c>
      <c r="AN73" s="142">
        <v>0</v>
      </c>
      <c r="AO73" s="142">
        <v>0</v>
      </c>
      <c r="AP73" s="142">
        <v>0</v>
      </c>
      <c r="AQ73" s="142">
        <v>0</v>
      </c>
      <c r="AR73" s="142">
        <v>0</v>
      </c>
      <c r="AS73" s="142">
        <v>0</v>
      </c>
      <c r="AT73" s="142">
        <v>0</v>
      </c>
      <c r="AU73" s="142">
        <v>0</v>
      </c>
      <c r="AV73" s="142">
        <v>0</v>
      </c>
      <c r="AW73" s="142">
        <v>0</v>
      </c>
      <c r="AX73" s="142"/>
    </row>
    <row r="74" spans="17:50" x14ac:dyDescent="0.25">
      <c r="R74" s="141">
        <f t="shared" si="1"/>
        <v>113.83164660653161</v>
      </c>
      <c r="S74" s="142">
        <v>0</v>
      </c>
      <c r="T74" s="142">
        <v>0</v>
      </c>
      <c r="U74" s="142">
        <v>0</v>
      </c>
      <c r="V74" s="142">
        <v>0</v>
      </c>
      <c r="W74" s="142">
        <v>0</v>
      </c>
      <c r="X74" s="142">
        <v>0</v>
      </c>
      <c r="Y74" s="142">
        <v>0</v>
      </c>
      <c r="Z74" s="142">
        <v>0</v>
      </c>
      <c r="AA74" s="142">
        <v>0</v>
      </c>
      <c r="AB74" s="142">
        <v>0</v>
      </c>
      <c r="AC74" s="142">
        <v>0</v>
      </c>
      <c r="AD74" s="142">
        <v>0</v>
      </c>
      <c r="AE74" s="142">
        <v>0</v>
      </c>
      <c r="AF74" s="142">
        <v>0</v>
      </c>
      <c r="AG74" s="142">
        <v>0</v>
      </c>
      <c r="AH74" s="142">
        <v>0</v>
      </c>
      <c r="AI74" s="142">
        <v>0</v>
      </c>
      <c r="AJ74" s="142">
        <v>0</v>
      </c>
      <c r="AK74" s="142">
        <v>0</v>
      </c>
      <c r="AL74" s="142">
        <v>0</v>
      </c>
      <c r="AM74" s="142">
        <v>0</v>
      </c>
      <c r="AN74" s="142">
        <v>0</v>
      </c>
      <c r="AO74" s="142">
        <v>0</v>
      </c>
      <c r="AP74" s="142">
        <v>0</v>
      </c>
      <c r="AQ74" s="142">
        <v>0</v>
      </c>
      <c r="AR74" s="142">
        <v>0</v>
      </c>
      <c r="AS74" s="142">
        <v>0</v>
      </c>
      <c r="AT74" s="142">
        <v>0</v>
      </c>
      <c r="AU74" s="142">
        <v>0</v>
      </c>
      <c r="AV74" s="142">
        <v>0</v>
      </c>
      <c r="AW74" s="142">
        <v>0</v>
      </c>
      <c r="AX74" s="142"/>
    </row>
    <row r="75" spans="17:50" x14ac:dyDescent="0.25">
      <c r="R75" s="141">
        <f t="shared" si="1"/>
        <v>170.74746990979745</v>
      </c>
      <c r="S75" s="142">
        <v>0</v>
      </c>
      <c r="T75" s="142">
        <v>0</v>
      </c>
      <c r="U75" s="142">
        <v>0</v>
      </c>
      <c r="V75" s="142">
        <v>0</v>
      </c>
      <c r="W75" s="142">
        <v>0</v>
      </c>
      <c r="X75" s="142">
        <v>0</v>
      </c>
      <c r="Y75" s="142">
        <v>0</v>
      </c>
      <c r="Z75" s="142">
        <v>0</v>
      </c>
      <c r="AA75" s="142">
        <v>0</v>
      </c>
      <c r="AB75" s="142">
        <v>0</v>
      </c>
      <c r="AC75" s="142">
        <v>0</v>
      </c>
      <c r="AD75" s="142">
        <v>0</v>
      </c>
      <c r="AE75" s="142">
        <v>0</v>
      </c>
      <c r="AF75" s="142">
        <v>0</v>
      </c>
      <c r="AG75" s="142">
        <v>0</v>
      </c>
      <c r="AH75" s="142">
        <v>0</v>
      </c>
      <c r="AI75" s="142">
        <v>0</v>
      </c>
      <c r="AJ75" s="142">
        <v>0</v>
      </c>
      <c r="AK75" s="142">
        <v>0</v>
      </c>
      <c r="AL75" s="142">
        <v>0</v>
      </c>
      <c r="AM75" s="142">
        <v>0</v>
      </c>
      <c r="AN75" s="142">
        <v>0</v>
      </c>
      <c r="AO75" s="142">
        <v>0</v>
      </c>
      <c r="AP75" s="142">
        <v>0</v>
      </c>
      <c r="AQ75" s="142">
        <v>0</v>
      </c>
      <c r="AR75" s="142">
        <v>0</v>
      </c>
      <c r="AS75" s="142">
        <v>0</v>
      </c>
      <c r="AT75" s="142">
        <v>0</v>
      </c>
      <c r="AU75" s="142">
        <v>0</v>
      </c>
      <c r="AV75" s="142">
        <v>0</v>
      </c>
      <c r="AW75" s="142">
        <v>0</v>
      </c>
      <c r="AX75" s="142"/>
    </row>
    <row r="76" spans="17:50" x14ac:dyDescent="0.25">
      <c r="R76" s="141">
        <f t="shared" si="1"/>
        <v>227.66329321306321</v>
      </c>
      <c r="S76" s="142">
        <v>0</v>
      </c>
      <c r="T76" s="142">
        <v>0</v>
      </c>
      <c r="U76" s="142">
        <v>0</v>
      </c>
      <c r="V76" s="142">
        <v>0</v>
      </c>
      <c r="W76" s="142">
        <v>0</v>
      </c>
      <c r="X76" s="142">
        <v>0</v>
      </c>
      <c r="Y76" s="142">
        <v>0</v>
      </c>
      <c r="Z76" s="142">
        <v>0</v>
      </c>
      <c r="AA76" s="142">
        <v>0</v>
      </c>
      <c r="AB76" s="142">
        <v>0</v>
      </c>
      <c r="AC76" s="142">
        <v>0</v>
      </c>
      <c r="AD76" s="142">
        <v>0</v>
      </c>
      <c r="AE76" s="142">
        <v>0</v>
      </c>
      <c r="AF76" s="142">
        <v>0</v>
      </c>
      <c r="AG76" s="142">
        <v>0</v>
      </c>
      <c r="AH76" s="142">
        <v>0</v>
      </c>
      <c r="AI76" s="142">
        <v>0</v>
      </c>
      <c r="AJ76" s="142">
        <v>0</v>
      </c>
      <c r="AK76" s="142">
        <v>0</v>
      </c>
      <c r="AL76" s="142">
        <v>0</v>
      </c>
      <c r="AM76" s="142">
        <v>0</v>
      </c>
      <c r="AN76" s="142">
        <v>0</v>
      </c>
      <c r="AO76" s="142">
        <v>0</v>
      </c>
      <c r="AP76" s="142">
        <v>0</v>
      </c>
      <c r="AQ76" s="142">
        <v>0</v>
      </c>
      <c r="AR76" s="142">
        <v>0</v>
      </c>
      <c r="AS76" s="142">
        <v>0</v>
      </c>
      <c r="AT76" s="142">
        <v>0</v>
      </c>
      <c r="AU76" s="142">
        <v>0</v>
      </c>
      <c r="AV76" s="142">
        <v>0</v>
      </c>
      <c r="AW76" s="142">
        <v>0</v>
      </c>
      <c r="AX76" s="142"/>
    </row>
    <row r="77" spans="17:50" x14ac:dyDescent="0.25">
      <c r="R77" s="141">
        <f t="shared" si="1"/>
        <v>284.57911651632901</v>
      </c>
      <c r="S77" s="142">
        <v>0</v>
      </c>
      <c r="T77" s="142">
        <v>0</v>
      </c>
      <c r="U77" s="142">
        <v>0</v>
      </c>
      <c r="V77" s="142">
        <v>0</v>
      </c>
      <c r="W77" s="142">
        <v>0</v>
      </c>
      <c r="X77" s="142">
        <v>0</v>
      </c>
      <c r="Y77" s="142">
        <v>0</v>
      </c>
      <c r="Z77" s="142">
        <v>0</v>
      </c>
      <c r="AA77" s="142">
        <v>0</v>
      </c>
      <c r="AB77" s="142">
        <v>0</v>
      </c>
      <c r="AC77" s="142">
        <v>0</v>
      </c>
      <c r="AD77" s="142">
        <v>0</v>
      </c>
      <c r="AE77" s="142">
        <v>0</v>
      </c>
      <c r="AF77" s="142">
        <v>0</v>
      </c>
      <c r="AG77" s="142">
        <v>0</v>
      </c>
      <c r="AH77" s="142">
        <v>0</v>
      </c>
      <c r="AI77" s="142">
        <v>0</v>
      </c>
      <c r="AJ77" s="142">
        <v>0</v>
      </c>
      <c r="AK77" s="142">
        <v>0</v>
      </c>
      <c r="AL77" s="142">
        <v>0</v>
      </c>
      <c r="AM77" s="142">
        <v>0</v>
      </c>
      <c r="AN77" s="142">
        <v>0</v>
      </c>
      <c r="AO77" s="142">
        <v>0</v>
      </c>
      <c r="AP77" s="142">
        <v>0</v>
      </c>
      <c r="AQ77" s="142">
        <v>0</v>
      </c>
      <c r="AR77" s="142">
        <v>0</v>
      </c>
      <c r="AS77" s="142">
        <v>0</v>
      </c>
      <c r="AT77" s="142">
        <v>0</v>
      </c>
      <c r="AU77" s="142">
        <v>0</v>
      </c>
      <c r="AV77" s="142">
        <v>0</v>
      </c>
      <c r="AW77" s="142">
        <v>0</v>
      </c>
      <c r="AX77" s="142"/>
    </row>
    <row r="78" spans="17:50" x14ac:dyDescent="0.25">
      <c r="R78" s="141">
        <f t="shared" si="1"/>
        <v>341.49493981959489</v>
      </c>
      <c r="S78" s="142">
        <v>0</v>
      </c>
      <c r="T78" s="142">
        <v>0</v>
      </c>
      <c r="U78" s="142">
        <v>0</v>
      </c>
      <c r="V78" s="142">
        <v>0</v>
      </c>
      <c r="W78" s="142">
        <v>0</v>
      </c>
      <c r="X78" s="142">
        <v>0</v>
      </c>
      <c r="Y78" s="142">
        <v>0</v>
      </c>
      <c r="Z78" s="142">
        <v>0</v>
      </c>
      <c r="AA78" s="142">
        <v>0</v>
      </c>
      <c r="AB78" s="142">
        <v>0</v>
      </c>
      <c r="AC78" s="142">
        <v>0</v>
      </c>
      <c r="AD78" s="142">
        <v>0</v>
      </c>
      <c r="AE78" s="142">
        <v>0</v>
      </c>
      <c r="AF78" s="142">
        <v>0</v>
      </c>
      <c r="AG78" s="142">
        <v>0</v>
      </c>
      <c r="AH78" s="142">
        <v>0</v>
      </c>
      <c r="AI78" s="142">
        <v>0</v>
      </c>
      <c r="AJ78" s="142">
        <v>0</v>
      </c>
      <c r="AK78" s="142">
        <v>0</v>
      </c>
      <c r="AL78" s="142">
        <v>0</v>
      </c>
      <c r="AM78" s="142">
        <v>0</v>
      </c>
      <c r="AN78" s="142">
        <v>0</v>
      </c>
      <c r="AO78" s="142">
        <v>0</v>
      </c>
      <c r="AP78" s="142">
        <v>0</v>
      </c>
      <c r="AQ78" s="142">
        <v>0</v>
      </c>
      <c r="AR78" s="142">
        <v>0</v>
      </c>
      <c r="AS78" s="142">
        <v>0</v>
      </c>
      <c r="AT78" s="142">
        <v>0</v>
      </c>
      <c r="AU78" s="142">
        <v>0</v>
      </c>
      <c r="AV78" s="142">
        <v>0</v>
      </c>
      <c r="AW78" s="142">
        <v>0</v>
      </c>
      <c r="AX78" s="140"/>
    </row>
    <row r="79" spans="17:50" x14ac:dyDescent="0.25">
      <c r="R79" s="141">
        <f t="shared" si="1"/>
        <v>398.41076312286066</v>
      </c>
      <c r="S79" s="142">
        <v>0</v>
      </c>
      <c r="T79" s="142">
        <v>0</v>
      </c>
      <c r="U79" s="142">
        <v>0</v>
      </c>
      <c r="V79" s="142">
        <v>0</v>
      </c>
      <c r="W79" s="142">
        <v>0</v>
      </c>
      <c r="X79" s="142">
        <v>0</v>
      </c>
      <c r="Y79" s="142">
        <v>0</v>
      </c>
      <c r="Z79" s="142">
        <v>0</v>
      </c>
      <c r="AA79" s="142">
        <v>0</v>
      </c>
      <c r="AB79" s="142">
        <v>0</v>
      </c>
      <c r="AC79" s="142">
        <v>0</v>
      </c>
      <c r="AD79" s="142">
        <v>0</v>
      </c>
      <c r="AE79" s="142">
        <v>0</v>
      </c>
      <c r="AF79" s="142">
        <v>0</v>
      </c>
      <c r="AG79" s="142">
        <v>0</v>
      </c>
      <c r="AH79" s="142">
        <v>0</v>
      </c>
      <c r="AI79" s="142">
        <v>0</v>
      </c>
      <c r="AJ79" s="142">
        <v>0</v>
      </c>
      <c r="AK79" s="142">
        <v>0</v>
      </c>
      <c r="AL79" s="142">
        <v>0</v>
      </c>
      <c r="AM79" s="142">
        <v>0</v>
      </c>
      <c r="AN79" s="142">
        <v>0</v>
      </c>
      <c r="AO79" s="142">
        <v>0</v>
      </c>
      <c r="AP79" s="142">
        <v>0</v>
      </c>
      <c r="AQ79" s="142">
        <v>0</v>
      </c>
      <c r="AR79" s="142">
        <v>0</v>
      </c>
      <c r="AS79" s="142">
        <v>0</v>
      </c>
      <c r="AT79" s="142">
        <v>0</v>
      </c>
      <c r="AU79" s="142">
        <v>0</v>
      </c>
      <c r="AV79" s="142">
        <v>0</v>
      </c>
      <c r="AW79" s="142">
        <v>0</v>
      </c>
      <c r="AX79" s="140"/>
    </row>
    <row r="80" spans="17:50" x14ac:dyDescent="0.25">
      <c r="R80" s="141">
        <f t="shared" si="1"/>
        <v>455.32658642612643</v>
      </c>
      <c r="S80" s="142">
        <v>0</v>
      </c>
      <c r="T80" s="142">
        <v>0</v>
      </c>
      <c r="U80" s="142">
        <v>0</v>
      </c>
      <c r="V80" s="142">
        <v>0</v>
      </c>
      <c r="W80" s="142">
        <v>0</v>
      </c>
      <c r="X80" s="142">
        <v>0</v>
      </c>
      <c r="Y80" s="142">
        <v>0</v>
      </c>
      <c r="Z80" s="142">
        <v>0</v>
      </c>
      <c r="AA80" s="142">
        <v>0</v>
      </c>
      <c r="AB80" s="142">
        <v>0</v>
      </c>
      <c r="AC80" s="142">
        <v>0</v>
      </c>
      <c r="AD80" s="142">
        <v>0</v>
      </c>
      <c r="AE80" s="142">
        <v>0</v>
      </c>
      <c r="AF80" s="142">
        <v>0</v>
      </c>
      <c r="AG80" s="142">
        <v>0</v>
      </c>
      <c r="AH80" s="142">
        <v>0</v>
      </c>
      <c r="AI80" s="142">
        <v>0</v>
      </c>
      <c r="AJ80" s="142">
        <v>0</v>
      </c>
      <c r="AK80" s="142">
        <v>0</v>
      </c>
      <c r="AL80" s="142">
        <v>0</v>
      </c>
      <c r="AM80" s="142">
        <v>0</v>
      </c>
      <c r="AN80" s="142">
        <v>0</v>
      </c>
      <c r="AO80" s="142">
        <v>0</v>
      </c>
      <c r="AP80" s="142">
        <v>0</v>
      </c>
      <c r="AQ80" s="142">
        <v>0</v>
      </c>
      <c r="AR80" s="142">
        <v>0</v>
      </c>
      <c r="AS80" s="142">
        <v>0</v>
      </c>
      <c r="AT80" s="142">
        <v>0</v>
      </c>
      <c r="AU80" s="142">
        <v>0</v>
      </c>
      <c r="AV80" s="142">
        <v>0</v>
      </c>
      <c r="AW80" s="142">
        <v>0</v>
      </c>
      <c r="AX80" s="140"/>
    </row>
    <row r="81" spans="18:50" x14ac:dyDescent="0.25">
      <c r="R81" s="141">
        <f t="shared" si="1"/>
        <v>512.24240972939231</v>
      </c>
      <c r="S81" s="142">
        <v>0</v>
      </c>
      <c r="T81" s="142">
        <v>0</v>
      </c>
      <c r="U81" s="142">
        <v>0</v>
      </c>
      <c r="V81" s="142">
        <v>0</v>
      </c>
      <c r="W81" s="142">
        <v>0</v>
      </c>
      <c r="X81" s="142">
        <v>0</v>
      </c>
      <c r="Y81" s="142">
        <v>0</v>
      </c>
      <c r="Z81" s="142">
        <v>0</v>
      </c>
      <c r="AA81" s="142">
        <v>0</v>
      </c>
      <c r="AB81" s="142">
        <v>0</v>
      </c>
      <c r="AC81" s="142">
        <v>0</v>
      </c>
      <c r="AD81" s="142">
        <v>0</v>
      </c>
      <c r="AE81" s="142">
        <v>0</v>
      </c>
      <c r="AF81" s="142">
        <v>0</v>
      </c>
      <c r="AG81" s="142">
        <v>0</v>
      </c>
      <c r="AH81" s="142">
        <v>0</v>
      </c>
      <c r="AI81" s="142">
        <v>0</v>
      </c>
      <c r="AJ81" s="142">
        <v>0</v>
      </c>
      <c r="AK81" s="142">
        <v>0</v>
      </c>
      <c r="AL81" s="142">
        <v>0</v>
      </c>
      <c r="AM81" s="142">
        <v>0</v>
      </c>
      <c r="AN81" s="142">
        <v>0</v>
      </c>
      <c r="AO81" s="142">
        <v>0</v>
      </c>
      <c r="AP81" s="142">
        <v>0</v>
      </c>
      <c r="AQ81" s="142">
        <v>0</v>
      </c>
      <c r="AR81" s="142">
        <v>0</v>
      </c>
      <c r="AS81" s="142">
        <v>0</v>
      </c>
      <c r="AT81" s="142">
        <v>0</v>
      </c>
      <c r="AU81" s="142">
        <v>0</v>
      </c>
      <c r="AV81" s="142">
        <v>0</v>
      </c>
      <c r="AW81" s="142">
        <v>0</v>
      </c>
      <c r="AX81" s="140"/>
    </row>
    <row r="82" spans="18:50" x14ac:dyDescent="0.25">
      <c r="R82" s="141">
        <f t="shared" si="1"/>
        <v>569.15823303265802</v>
      </c>
      <c r="S82" s="142">
        <v>0</v>
      </c>
      <c r="T82" s="142">
        <v>0</v>
      </c>
      <c r="U82" s="142">
        <v>0</v>
      </c>
      <c r="V82" s="142">
        <v>0</v>
      </c>
      <c r="W82" s="142">
        <v>0</v>
      </c>
      <c r="X82" s="142">
        <v>0</v>
      </c>
      <c r="Y82" s="142">
        <v>0</v>
      </c>
      <c r="Z82" s="142">
        <v>0</v>
      </c>
      <c r="AA82" s="142">
        <v>0</v>
      </c>
      <c r="AB82" s="142">
        <v>0</v>
      </c>
      <c r="AC82" s="142">
        <v>0</v>
      </c>
      <c r="AD82" s="142">
        <v>0</v>
      </c>
      <c r="AE82" s="142">
        <v>0</v>
      </c>
      <c r="AF82" s="142">
        <v>0</v>
      </c>
      <c r="AG82" s="142">
        <v>0</v>
      </c>
      <c r="AH82" s="142">
        <v>0</v>
      </c>
      <c r="AI82" s="142">
        <v>0</v>
      </c>
      <c r="AJ82" s="142">
        <v>0</v>
      </c>
      <c r="AK82" s="142">
        <v>0</v>
      </c>
      <c r="AL82" s="142">
        <v>0</v>
      </c>
      <c r="AM82" s="142">
        <v>0</v>
      </c>
      <c r="AN82" s="142">
        <v>0</v>
      </c>
      <c r="AO82" s="142">
        <v>0</v>
      </c>
      <c r="AP82" s="142">
        <v>0</v>
      </c>
      <c r="AQ82" s="142">
        <v>0</v>
      </c>
      <c r="AR82" s="142">
        <v>0</v>
      </c>
      <c r="AS82" s="142">
        <v>0</v>
      </c>
      <c r="AT82" s="142">
        <v>0</v>
      </c>
      <c r="AU82" s="142">
        <v>0</v>
      </c>
      <c r="AV82" s="142">
        <v>0</v>
      </c>
      <c r="AW82" s="142">
        <v>0</v>
      </c>
      <c r="AX82" s="140"/>
    </row>
    <row r="83" spans="18:50" x14ac:dyDescent="0.25">
      <c r="R83" s="141">
        <f t="shared" si="1"/>
        <v>626.07405633592384</v>
      </c>
      <c r="S83" s="142">
        <v>0</v>
      </c>
      <c r="T83" s="142">
        <v>0</v>
      </c>
      <c r="U83" s="142">
        <v>0</v>
      </c>
      <c r="V83" s="142">
        <v>0</v>
      </c>
      <c r="W83" s="142">
        <v>0</v>
      </c>
      <c r="X83" s="142">
        <v>0</v>
      </c>
      <c r="Y83" s="142">
        <v>0</v>
      </c>
      <c r="Z83" s="142">
        <v>0</v>
      </c>
      <c r="AA83" s="142">
        <v>0</v>
      </c>
      <c r="AB83" s="142">
        <v>0</v>
      </c>
      <c r="AC83" s="142">
        <v>0</v>
      </c>
      <c r="AD83" s="142">
        <v>0</v>
      </c>
      <c r="AE83" s="142">
        <v>0</v>
      </c>
      <c r="AF83" s="142">
        <v>0</v>
      </c>
      <c r="AG83" s="142">
        <v>0</v>
      </c>
      <c r="AH83" s="142">
        <v>0</v>
      </c>
      <c r="AI83" s="142">
        <v>0</v>
      </c>
      <c r="AJ83" s="142">
        <v>0</v>
      </c>
      <c r="AK83" s="142">
        <v>0</v>
      </c>
      <c r="AL83" s="142">
        <v>0</v>
      </c>
      <c r="AM83" s="142">
        <v>0</v>
      </c>
      <c r="AN83" s="142">
        <v>0</v>
      </c>
      <c r="AO83" s="142">
        <v>0</v>
      </c>
      <c r="AP83" s="142">
        <v>0</v>
      </c>
      <c r="AQ83" s="142">
        <v>0</v>
      </c>
      <c r="AR83" s="142">
        <v>0</v>
      </c>
      <c r="AS83" s="142">
        <v>0</v>
      </c>
      <c r="AT83" s="142">
        <v>0</v>
      </c>
      <c r="AU83" s="142">
        <v>0</v>
      </c>
      <c r="AV83" s="142">
        <v>0</v>
      </c>
      <c r="AW83" s="142">
        <v>0</v>
      </c>
      <c r="AX83" s="140"/>
    </row>
    <row r="84" spans="18:50" x14ac:dyDescent="0.25">
      <c r="R84" s="141">
        <f t="shared" si="1"/>
        <v>682.98987963918978</v>
      </c>
      <c r="S84" s="142">
        <v>0</v>
      </c>
      <c r="T84" s="142">
        <v>0</v>
      </c>
      <c r="U84" s="142">
        <v>0</v>
      </c>
      <c r="V84" s="142">
        <v>0</v>
      </c>
      <c r="W84" s="142">
        <v>0</v>
      </c>
      <c r="X84" s="142">
        <v>0</v>
      </c>
      <c r="Y84" s="142">
        <v>0</v>
      </c>
      <c r="Z84" s="142">
        <v>0</v>
      </c>
      <c r="AA84" s="142">
        <v>0</v>
      </c>
      <c r="AB84" s="142">
        <v>0</v>
      </c>
      <c r="AC84" s="142">
        <v>0</v>
      </c>
      <c r="AD84" s="142">
        <v>0</v>
      </c>
      <c r="AE84" s="142">
        <v>0</v>
      </c>
      <c r="AF84" s="142">
        <v>0</v>
      </c>
      <c r="AG84" s="142">
        <v>0</v>
      </c>
      <c r="AH84" s="142">
        <v>0</v>
      </c>
      <c r="AI84" s="142">
        <v>0</v>
      </c>
      <c r="AJ84" s="142">
        <v>0</v>
      </c>
      <c r="AK84" s="142">
        <v>0</v>
      </c>
      <c r="AL84" s="142">
        <v>0</v>
      </c>
      <c r="AM84" s="142">
        <v>0</v>
      </c>
      <c r="AN84" s="142">
        <v>0</v>
      </c>
      <c r="AO84" s="142">
        <v>0</v>
      </c>
      <c r="AP84" s="142">
        <v>0</v>
      </c>
      <c r="AQ84" s="142">
        <v>0</v>
      </c>
      <c r="AR84" s="142">
        <v>0</v>
      </c>
      <c r="AS84" s="142">
        <v>0</v>
      </c>
      <c r="AT84" s="142">
        <v>0</v>
      </c>
      <c r="AU84" s="142">
        <v>0</v>
      </c>
      <c r="AV84" s="142">
        <v>0</v>
      </c>
      <c r="AW84" s="142">
        <v>0</v>
      </c>
      <c r="AX84" s="140"/>
    </row>
    <row r="85" spans="18:50" x14ac:dyDescent="0.25">
      <c r="R85" s="141">
        <f t="shared" si="1"/>
        <v>739.90570294245549</v>
      </c>
      <c r="S85" s="142">
        <v>0</v>
      </c>
      <c r="T85" s="142">
        <v>0</v>
      </c>
      <c r="U85" s="142">
        <v>0</v>
      </c>
      <c r="V85" s="142">
        <v>0</v>
      </c>
      <c r="W85" s="142">
        <v>0</v>
      </c>
      <c r="X85" s="142">
        <v>0</v>
      </c>
      <c r="Y85" s="142">
        <v>0</v>
      </c>
      <c r="Z85" s="142">
        <v>0</v>
      </c>
      <c r="AA85" s="142">
        <v>0</v>
      </c>
      <c r="AB85" s="142">
        <v>0</v>
      </c>
      <c r="AC85" s="142">
        <v>0</v>
      </c>
      <c r="AD85" s="142">
        <v>0</v>
      </c>
      <c r="AE85" s="142">
        <v>0</v>
      </c>
      <c r="AF85" s="142">
        <v>0</v>
      </c>
      <c r="AG85" s="142">
        <v>0</v>
      </c>
      <c r="AH85" s="142">
        <v>0</v>
      </c>
      <c r="AI85" s="142">
        <v>0</v>
      </c>
      <c r="AJ85" s="142">
        <v>0</v>
      </c>
      <c r="AK85" s="142">
        <v>0</v>
      </c>
      <c r="AL85" s="142">
        <v>0</v>
      </c>
      <c r="AM85" s="142">
        <v>0</v>
      </c>
      <c r="AN85" s="142">
        <v>0</v>
      </c>
      <c r="AO85" s="142">
        <v>0</v>
      </c>
      <c r="AP85" s="142">
        <v>0</v>
      </c>
      <c r="AQ85" s="142">
        <v>0</v>
      </c>
      <c r="AR85" s="142">
        <v>0</v>
      </c>
      <c r="AS85" s="142">
        <v>0</v>
      </c>
      <c r="AT85" s="142">
        <v>0</v>
      </c>
      <c r="AU85" s="142">
        <v>0</v>
      </c>
      <c r="AV85" s="142">
        <v>0</v>
      </c>
      <c r="AW85" s="142">
        <v>0</v>
      </c>
      <c r="AX85" s="140"/>
    </row>
    <row r="86" spans="18:50" x14ac:dyDescent="0.25">
      <c r="R86" s="141">
        <f t="shared" si="1"/>
        <v>796.82152624572132</v>
      </c>
      <c r="S86" s="142">
        <v>0</v>
      </c>
      <c r="T86" s="142">
        <v>0</v>
      </c>
      <c r="U86" s="142">
        <v>0</v>
      </c>
      <c r="V86" s="142">
        <v>0</v>
      </c>
      <c r="W86" s="142">
        <v>0</v>
      </c>
      <c r="X86" s="142">
        <v>0</v>
      </c>
      <c r="Y86" s="142">
        <v>0</v>
      </c>
      <c r="Z86" s="142">
        <v>0</v>
      </c>
      <c r="AA86" s="142">
        <v>0</v>
      </c>
      <c r="AB86" s="142">
        <v>0</v>
      </c>
      <c r="AC86" s="142">
        <v>0</v>
      </c>
      <c r="AD86" s="142">
        <v>0</v>
      </c>
      <c r="AE86" s="142">
        <v>0</v>
      </c>
      <c r="AF86" s="142">
        <v>0</v>
      </c>
      <c r="AG86" s="142">
        <v>0</v>
      </c>
      <c r="AH86" s="142">
        <v>0</v>
      </c>
      <c r="AI86" s="142">
        <v>0</v>
      </c>
      <c r="AJ86" s="142">
        <v>0</v>
      </c>
      <c r="AK86" s="142">
        <v>0</v>
      </c>
      <c r="AL86" s="142">
        <v>0</v>
      </c>
      <c r="AM86" s="142">
        <v>0</v>
      </c>
      <c r="AN86" s="142">
        <v>0</v>
      </c>
      <c r="AO86" s="142">
        <v>0</v>
      </c>
      <c r="AP86" s="142">
        <v>0</v>
      </c>
      <c r="AQ86" s="142">
        <v>0</v>
      </c>
      <c r="AR86" s="142">
        <v>0</v>
      </c>
      <c r="AS86" s="142">
        <v>0</v>
      </c>
      <c r="AT86" s="142">
        <v>0</v>
      </c>
      <c r="AU86" s="142">
        <v>0</v>
      </c>
      <c r="AV86" s="142">
        <v>0</v>
      </c>
      <c r="AW86" s="142">
        <v>0</v>
      </c>
      <c r="AX86" s="140"/>
    </row>
    <row r="87" spans="18:50" x14ac:dyDescent="0.25">
      <c r="R87" s="141">
        <f t="shared" si="1"/>
        <v>853.73734954898703</v>
      </c>
      <c r="S87" s="142">
        <v>0</v>
      </c>
      <c r="T87" s="142">
        <v>0</v>
      </c>
      <c r="U87" s="142">
        <v>0</v>
      </c>
      <c r="V87" s="142">
        <v>0</v>
      </c>
      <c r="W87" s="142">
        <v>0</v>
      </c>
      <c r="X87" s="142">
        <v>0</v>
      </c>
      <c r="Y87" s="142">
        <v>0</v>
      </c>
      <c r="Z87" s="142">
        <v>0</v>
      </c>
      <c r="AA87" s="142">
        <v>0</v>
      </c>
      <c r="AB87" s="142">
        <v>0</v>
      </c>
      <c r="AC87" s="142">
        <v>0</v>
      </c>
      <c r="AD87" s="142">
        <v>0</v>
      </c>
      <c r="AE87" s="142">
        <v>0</v>
      </c>
      <c r="AF87" s="142">
        <v>0</v>
      </c>
      <c r="AG87" s="142">
        <v>0</v>
      </c>
      <c r="AH87" s="142">
        <v>0</v>
      </c>
      <c r="AI87" s="142">
        <v>0</v>
      </c>
      <c r="AJ87" s="142">
        <v>0</v>
      </c>
      <c r="AK87" s="142">
        <v>0</v>
      </c>
      <c r="AL87" s="142">
        <v>0</v>
      </c>
      <c r="AM87" s="142">
        <v>0</v>
      </c>
      <c r="AN87" s="142">
        <v>0</v>
      </c>
      <c r="AO87" s="142">
        <v>0</v>
      </c>
      <c r="AP87" s="142">
        <v>0</v>
      </c>
      <c r="AQ87" s="142">
        <v>0</v>
      </c>
      <c r="AR87" s="142">
        <v>0</v>
      </c>
      <c r="AS87" s="142">
        <v>0</v>
      </c>
      <c r="AT87" s="142">
        <v>0</v>
      </c>
      <c r="AU87" s="142">
        <v>0</v>
      </c>
      <c r="AV87" s="142">
        <v>0</v>
      </c>
      <c r="AW87" s="142">
        <v>0</v>
      </c>
      <c r="AX87" s="140"/>
    </row>
    <row r="88" spans="18:50" x14ac:dyDescent="0.25">
      <c r="R88" s="141">
        <f t="shared" si="1"/>
        <v>910.65317285225285</v>
      </c>
      <c r="S88" s="142">
        <v>0</v>
      </c>
      <c r="T88" s="142">
        <v>0</v>
      </c>
      <c r="U88" s="142">
        <v>0</v>
      </c>
      <c r="V88" s="142">
        <v>0</v>
      </c>
      <c r="W88" s="142">
        <v>0</v>
      </c>
      <c r="X88" s="142">
        <v>0</v>
      </c>
      <c r="Y88" s="142">
        <v>0</v>
      </c>
      <c r="Z88" s="142">
        <v>0</v>
      </c>
      <c r="AA88" s="142">
        <v>0</v>
      </c>
      <c r="AB88" s="142">
        <v>0</v>
      </c>
      <c r="AC88" s="142">
        <v>0</v>
      </c>
      <c r="AD88" s="142">
        <v>0</v>
      </c>
      <c r="AE88" s="142">
        <v>0</v>
      </c>
      <c r="AF88" s="142">
        <v>0</v>
      </c>
      <c r="AG88" s="142">
        <v>0</v>
      </c>
      <c r="AH88" s="142">
        <v>0</v>
      </c>
      <c r="AI88" s="142">
        <v>0</v>
      </c>
      <c r="AJ88" s="142">
        <v>0</v>
      </c>
      <c r="AK88" s="142">
        <v>0</v>
      </c>
      <c r="AL88" s="142">
        <v>0</v>
      </c>
      <c r="AM88" s="142">
        <v>0</v>
      </c>
      <c r="AN88" s="142">
        <v>0</v>
      </c>
      <c r="AO88" s="142">
        <v>0</v>
      </c>
      <c r="AP88" s="142">
        <v>0</v>
      </c>
      <c r="AQ88" s="142">
        <v>0</v>
      </c>
      <c r="AR88" s="142">
        <v>0</v>
      </c>
      <c r="AS88" s="142">
        <v>0</v>
      </c>
      <c r="AT88" s="142">
        <v>0</v>
      </c>
      <c r="AU88" s="142">
        <v>0</v>
      </c>
      <c r="AV88" s="142">
        <v>0</v>
      </c>
      <c r="AW88" s="142">
        <v>0</v>
      </c>
      <c r="AX88" s="140"/>
    </row>
    <row r="89" spans="18:50" x14ac:dyDescent="0.25">
      <c r="R89" s="141">
        <f t="shared" si="1"/>
        <v>967.56899615551868</v>
      </c>
      <c r="S89" s="142">
        <v>0</v>
      </c>
      <c r="T89" s="142">
        <v>0</v>
      </c>
      <c r="U89" s="142">
        <v>0</v>
      </c>
      <c r="V89" s="142">
        <v>0</v>
      </c>
      <c r="W89" s="142">
        <v>0</v>
      </c>
      <c r="X89" s="142">
        <v>0</v>
      </c>
      <c r="Y89" s="142">
        <v>0</v>
      </c>
      <c r="Z89" s="142">
        <v>0</v>
      </c>
      <c r="AA89" s="142">
        <v>0</v>
      </c>
      <c r="AB89" s="142">
        <v>0</v>
      </c>
      <c r="AC89" s="142">
        <v>0</v>
      </c>
      <c r="AD89" s="142">
        <v>0</v>
      </c>
      <c r="AE89" s="142">
        <v>0</v>
      </c>
      <c r="AF89" s="142">
        <v>0</v>
      </c>
      <c r="AG89" s="142">
        <v>0</v>
      </c>
      <c r="AH89" s="142">
        <v>0</v>
      </c>
      <c r="AI89" s="142">
        <v>0</v>
      </c>
      <c r="AJ89" s="142">
        <v>0</v>
      </c>
      <c r="AK89" s="142">
        <v>0</v>
      </c>
      <c r="AL89" s="142">
        <v>0</v>
      </c>
      <c r="AM89" s="142">
        <v>0</v>
      </c>
      <c r="AN89" s="142">
        <v>0</v>
      </c>
      <c r="AO89" s="142">
        <v>0</v>
      </c>
      <c r="AP89" s="142">
        <v>0</v>
      </c>
      <c r="AQ89" s="142">
        <v>0</v>
      </c>
      <c r="AR89" s="142">
        <v>0</v>
      </c>
      <c r="AS89" s="142">
        <v>0</v>
      </c>
      <c r="AT89" s="142">
        <v>0</v>
      </c>
      <c r="AU89" s="142">
        <v>0</v>
      </c>
      <c r="AV89" s="142">
        <v>0</v>
      </c>
      <c r="AW89" s="142">
        <v>0</v>
      </c>
      <c r="AX89" s="140"/>
    </row>
    <row r="90" spans="18:50" x14ac:dyDescent="0.25">
      <c r="R90" s="141">
        <f t="shared" si="1"/>
        <v>1024.4848194587846</v>
      </c>
      <c r="S90" s="142">
        <v>0</v>
      </c>
      <c r="T90" s="142">
        <v>0</v>
      </c>
      <c r="U90" s="142">
        <v>0</v>
      </c>
      <c r="V90" s="142">
        <v>0</v>
      </c>
      <c r="W90" s="142">
        <v>0</v>
      </c>
      <c r="X90" s="142">
        <v>0</v>
      </c>
      <c r="Y90" s="142">
        <v>0</v>
      </c>
      <c r="Z90" s="142">
        <v>0</v>
      </c>
      <c r="AA90" s="142">
        <v>0</v>
      </c>
      <c r="AB90" s="142">
        <v>0</v>
      </c>
      <c r="AC90" s="142">
        <v>0</v>
      </c>
      <c r="AD90" s="142">
        <v>0</v>
      </c>
      <c r="AE90" s="142">
        <v>0</v>
      </c>
      <c r="AF90" s="142">
        <v>0</v>
      </c>
      <c r="AG90" s="142">
        <v>0</v>
      </c>
      <c r="AH90" s="142">
        <v>0</v>
      </c>
      <c r="AI90" s="142">
        <v>0</v>
      </c>
      <c r="AJ90" s="142">
        <v>0</v>
      </c>
      <c r="AK90" s="142">
        <v>0</v>
      </c>
      <c r="AL90" s="142">
        <v>0</v>
      </c>
      <c r="AM90" s="142">
        <v>0</v>
      </c>
      <c r="AN90" s="142">
        <v>0</v>
      </c>
      <c r="AO90" s="142">
        <v>0</v>
      </c>
      <c r="AP90" s="142">
        <v>0</v>
      </c>
      <c r="AQ90" s="142">
        <v>0</v>
      </c>
      <c r="AR90" s="142">
        <v>0</v>
      </c>
      <c r="AS90" s="142">
        <v>0</v>
      </c>
      <c r="AT90" s="142">
        <v>0</v>
      </c>
      <c r="AU90" s="142">
        <v>0</v>
      </c>
      <c r="AV90" s="142">
        <v>0</v>
      </c>
      <c r="AW90" s="142">
        <v>0</v>
      </c>
      <c r="AX90" s="140"/>
    </row>
    <row r="91" spans="18:50" x14ac:dyDescent="0.25">
      <c r="R91" s="141">
        <f t="shared" si="1"/>
        <v>1081.4006427620504</v>
      </c>
      <c r="S91" s="142">
        <v>0</v>
      </c>
      <c r="T91" s="142">
        <v>0</v>
      </c>
      <c r="U91" s="142">
        <v>0</v>
      </c>
      <c r="V91" s="142">
        <v>0</v>
      </c>
      <c r="W91" s="142">
        <v>0</v>
      </c>
      <c r="X91" s="142">
        <v>0</v>
      </c>
      <c r="Y91" s="142">
        <v>0</v>
      </c>
      <c r="Z91" s="142">
        <v>0</v>
      </c>
      <c r="AA91" s="142">
        <v>0</v>
      </c>
      <c r="AB91" s="142">
        <v>0</v>
      </c>
      <c r="AC91" s="142">
        <v>0</v>
      </c>
      <c r="AD91" s="142">
        <v>0</v>
      </c>
      <c r="AE91" s="142">
        <v>0</v>
      </c>
      <c r="AF91" s="142">
        <v>0</v>
      </c>
      <c r="AG91" s="142">
        <v>0</v>
      </c>
      <c r="AH91" s="142">
        <v>0</v>
      </c>
      <c r="AI91" s="142">
        <v>0</v>
      </c>
      <c r="AJ91" s="142">
        <v>0</v>
      </c>
      <c r="AK91" s="142">
        <v>0</v>
      </c>
      <c r="AL91" s="142">
        <v>0</v>
      </c>
      <c r="AM91" s="142">
        <v>0</v>
      </c>
      <c r="AN91" s="142">
        <v>0</v>
      </c>
      <c r="AO91" s="142">
        <v>0</v>
      </c>
      <c r="AP91" s="142">
        <v>0</v>
      </c>
      <c r="AQ91" s="142">
        <v>0</v>
      </c>
      <c r="AR91" s="142">
        <v>0</v>
      </c>
      <c r="AS91" s="142">
        <v>0</v>
      </c>
      <c r="AT91" s="142">
        <v>0</v>
      </c>
      <c r="AU91" s="142">
        <v>0</v>
      </c>
      <c r="AV91" s="142">
        <v>0</v>
      </c>
      <c r="AW91" s="142">
        <v>0</v>
      </c>
      <c r="AX91" s="140"/>
    </row>
    <row r="92" spans="18:50" x14ac:dyDescent="0.25">
      <c r="R92" s="141">
        <f t="shared" si="1"/>
        <v>1138.316466065316</v>
      </c>
      <c r="S92" s="142">
        <v>0</v>
      </c>
      <c r="T92" s="142">
        <v>0</v>
      </c>
      <c r="U92" s="142">
        <v>0</v>
      </c>
      <c r="V92" s="142">
        <v>0</v>
      </c>
      <c r="W92" s="142">
        <v>0</v>
      </c>
      <c r="X92" s="142">
        <v>0</v>
      </c>
      <c r="Y92" s="142">
        <v>0</v>
      </c>
      <c r="Z92" s="142">
        <v>0</v>
      </c>
      <c r="AA92" s="142">
        <v>0</v>
      </c>
      <c r="AB92" s="142">
        <v>0</v>
      </c>
      <c r="AC92" s="142">
        <v>0</v>
      </c>
      <c r="AD92" s="142">
        <v>0</v>
      </c>
      <c r="AE92" s="142">
        <v>0</v>
      </c>
      <c r="AF92" s="142">
        <v>0</v>
      </c>
      <c r="AG92" s="142">
        <v>0</v>
      </c>
      <c r="AH92" s="142">
        <v>0</v>
      </c>
      <c r="AI92" s="142">
        <v>0</v>
      </c>
      <c r="AJ92" s="142">
        <v>0</v>
      </c>
      <c r="AK92" s="142">
        <v>0</v>
      </c>
      <c r="AL92" s="142">
        <v>0</v>
      </c>
      <c r="AM92" s="142">
        <v>0</v>
      </c>
      <c r="AN92" s="142">
        <v>0</v>
      </c>
      <c r="AO92" s="142">
        <v>0</v>
      </c>
      <c r="AP92" s="142">
        <v>0</v>
      </c>
      <c r="AQ92" s="142">
        <v>0</v>
      </c>
      <c r="AR92" s="142">
        <v>0</v>
      </c>
      <c r="AS92" s="142">
        <v>0</v>
      </c>
      <c r="AT92" s="142">
        <v>0</v>
      </c>
      <c r="AU92" s="142">
        <v>0</v>
      </c>
      <c r="AV92" s="142">
        <v>0</v>
      </c>
      <c r="AW92" s="142">
        <v>0</v>
      </c>
      <c r="AX92" s="140"/>
    </row>
    <row r="93" spans="18:50" x14ac:dyDescent="0.25">
      <c r="R93" s="141">
        <f t="shared" si="1"/>
        <v>1195.2322893685819</v>
      </c>
      <c r="S93" s="142">
        <v>0</v>
      </c>
      <c r="T93" s="142">
        <v>0</v>
      </c>
      <c r="U93" s="142">
        <v>0</v>
      </c>
      <c r="V93" s="142">
        <v>0</v>
      </c>
      <c r="W93" s="142">
        <v>0</v>
      </c>
      <c r="X93" s="142">
        <v>0</v>
      </c>
      <c r="Y93" s="142">
        <v>0</v>
      </c>
      <c r="Z93" s="142">
        <v>0</v>
      </c>
      <c r="AA93" s="142">
        <v>0</v>
      </c>
      <c r="AB93" s="142">
        <v>0</v>
      </c>
      <c r="AC93" s="142">
        <v>0</v>
      </c>
      <c r="AD93" s="142">
        <v>0</v>
      </c>
      <c r="AE93" s="142">
        <v>0</v>
      </c>
      <c r="AF93" s="142">
        <v>0</v>
      </c>
      <c r="AG93" s="142">
        <v>0</v>
      </c>
      <c r="AH93" s="142">
        <v>0</v>
      </c>
      <c r="AI93" s="142">
        <v>0</v>
      </c>
      <c r="AJ93" s="142">
        <v>0</v>
      </c>
      <c r="AK93" s="142">
        <v>0</v>
      </c>
      <c r="AL93" s="142">
        <v>0</v>
      </c>
      <c r="AM93" s="142">
        <v>0</v>
      </c>
      <c r="AN93" s="142">
        <v>0</v>
      </c>
      <c r="AO93" s="142">
        <v>0</v>
      </c>
      <c r="AP93" s="142">
        <v>0</v>
      </c>
      <c r="AQ93" s="142">
        <v>0</v>
      </c>
      <c r="AR93" s="142">
        <v>0</v>
      </c>
      <c r="AS93" s="142">
        <v>0</v>
      </c>
      <c r="AT93" s="142">
        <v>0</v>
      </c>
      <c r="AU93" s="142">
        <v>0</v>
      </c>
      <c r="AV93" s="142">
        <v>0</v>
      </c>
      <c r="AW93" s="142">
        <v>0</v>
      </c>
      <c r="AX93" s="140"/>
    </row>
    <row r="94" spans="18:50" x14ac:dyDescent="0.25">
      <c r="R94" s="141">
        <f t="shared" si="1"/>
        <v>1252.1481126718477</v>
      </c>
      <c r="S94" s="142">
        <v>0</v>
      </c>
      <c r="T94" s="142">
        <v>0</v>
      </c>
      <c r="U94" s="142">
        <v>0</v>
      </c>
      <c r="V94" s="142">
        <v>0</v>
      </c>
      <c r="W94" s="142">
        <v>0</v>
      </c>
      <c r="X94" s="142">
        <v>0</v>
      </c>
      <c r="Y94" s="142">
        <v>0</v>
      </c>
      <c r="Z94" s="142">
        <v>0</v>
      </c>
      <c r="AA94" s="142">
        <v>0</v>
      </c>
      <c r="AB94" s="142">
        <v>0</v>
      </c>
      <c r="AC94" s="142">
        <v>0</v>
      </c>
      <c r="AD94" s="142">
        <v>0</v>
      </c>
      <c r="AE94" s="142">
        <v>0</v>
      </c>
      <c r="AF94" s="142">
        <v>0</v>
      </c>
      <c r="AG94" s="142">
        <v>0</v>
      </c>
      <c r="AH94" s="142">
        <v>0</v>
      </c>
      <c r="AI94" s="142">
        <v>0</v>
      </c>
      <c r="AJ94" s="142">
        <v>0</v>
      </c>
      <c r="AK94" s="142">
        <v>0</v>
      </c>
      <c r="AL94" s="142">
        <v>0</v>
      </c>
      <c r="AM94" s="142">
        <v>0</v>
      </c>
      <c r="AN94" s="142">
        <v>0</v>
      </c>
      <c r="AO94" s="142">
        <v>0</v>
      </c>
      <c r="AP94" s="142">
        <v>0</v>
      </c>
      <c r="AQ94" s="142">
        <v>0</v>
      </c>
      <c r="AR94" s="142">
        <v>0</v>
      </c>
      <c r="AS94" s="142">
        <v>0</v>
      </c>
      <c r="AT94" s="142">
        <v>0</v>
      </c>
      <c r="AU94" s="142">
        <v>0</v>
      </c>
      <c r="AV94" s="142">
        <v>0</v>
      </c>
      <c r="AW94" s="142">
        <v>0</v>
      </c>
      <c r="AX94" s="140"/>
    </row>
    <row r="95" spans="18:50" x14ac:dyDescent="0.25">
      <c r="R95" s="141">
        <f t="shared" si="1"/>
        <v>1309.0639359751137</v>
      </c>
      <c r="S95" s="142">
        <v>0</v>
      </c>
      <c r="T95" s="142">
        <v>0</v>
      </c>
      <c r="U95" s="142">
        <v>0</v>
      </c>
      <c r="V95" s="142">
        <v>0</v>
      </c>
      <c r="W95" s="142">
        <v>0</v>
      </c>
      <c r="X95" s="142">
        <v>0</v>
      </c>
      <c r="Y95" s="142">
        <v>0</v>
      </c>
      <c r="Z95" s="142">
        <v>0</v>
      </c>
      <c r="AA95" s="142">
        <v>0</v>
      </c>
      <c r="AB95" s="142">
        <v>0</v>
      </c>
      <c r="AC95" s="142">
        <v>0</v>
      </c>
      <c r="AD95" s="142">
        <v>0</v>
      </c>
      <c r="AE95" s="142">
        <v>0</v>
      </c>
      <c r="AF95" s="142">
        <v>0</v>
      </c>
      <c r="AG95" s="142">
        <v>0</v>
      </c>
      <c r="AH95" s="142">
        <v>0</v>
      </c>
      <c r="AI95" s="142">
        <v>0</v>
      </c>
      <c r="AJ95" s="142">
        <v>0</v>
      </c>
      <c r="AK95" s="142">
        <v>0</v>
      </c>
      <c r="AL95" s="142">
        <v>0</v>
      </c>
      <c r="AM95" s="142">
        <v>0</v>
      </c>
      <c r="AN95" s="142">
        <v>0</v>
      </c>
      <c r="AO95" s="142">
        <v>0</v>
      </c>
      <c r="AP95" s="142">
        <v>0</v>
      </c>
      <c r="AQ95" s="142">
        <v>0</v>
      </c>
      <c r="AR95" s="142">
        <v>0</v>
      </c>
      <c r="AS95" s="142">
        <v>0</v>
      </c>
      <c r="AT95" s="142">
        <v>0</v>
      </c>
      <c r="AU95" s="142">
        <v>0</v>
      </c>
      <c r="AV95" s="142">
        <v>0</v>
      </c>
      <c r="AW95" s="142">
        <v>0</v>
      </c>
      <c r="AX95" s="140"/>
    </row>
    <row r="96" spans="18:50" x14ac:dyDescent="0.25">
      <c r="R96" s="141">
        <f t="shared" si="1"/>
        <v>1365.9797592783796</v>
      </c>
      <c r="S96" s="142">
        <v>0</v>
      </c>
      <c r="T96" s="142">
        <v>0</v>
      </c>
      <c r="U96" s="142">
        <v>0</v>
      </c>
      <c r="V96" s="142">
        <v>0</v>
      </c>
      <c r="W96" s="142">
        <v>0</v>
      </c>
      <c r="X96" s="142">
        <v>0</v>
      </c>
      <c r="Y96" s="142">
        <v>0</v>
      </c>
      <c r="Z96" s="142">
        <v>0</v>
      </c>
      <c r="AA96" s="142">
        <v>0</v>
      </c>
      <c r="AB96" s="142">
        <v>0</v>
      </c>
      <c r="AC96" s="142">
        <v>0</v>
      </c>
      <c r="AD96" s="142">
        <v>0</v>
      </c>
      <c r="AE96" s="142">
        <v>0</v>
      </c>
      <c r="AF96" s="142">
        <v>0</v>
      </c>
      <c r="AG96" s="142">
        <v>0</v>
      </c>
      <c r="AH96" s="142">
        <v>0</v>
      </c>
      <c r="AI96" s="142">
        <v>0</v>
      </c>
      <c r="AJ96" s="142">
        <v>0</v>
      </c>
      <c r="AK96" s="142">
        <v>0</v>
      </c>
      <c r="AL96" s="142">
        <v>0</v>
      </c>
      <c r="AM96" s="142">
        <v>0</v>
      </c>
      <c r="AN96" s="142">
        <v>0</v>
      </c>
      <c r="AO96" s="142">
        <v>0</v>
      </c>
      <c r="AP96" s="142">
        <v>0</v>
      </c>
      <c r="AQ96" s="142">
        <v>0</v>
      </c>
      <c r="AR96" s="142">
        <v>0</v>
      </c>
      <c r="AS96" s="142">
        <v>0</v>
      </c>
      <c r="AT96" s="142">
        <v>0</v>
      </c>
      <c r="AU96" s="142">
        <v>0</v>
      </c>
      <c r="AV96" s="142">
        <v>0</v>
      </c>
      <c r="AW96" s="142">
        <v>0</v>
      </c>
      <c r="AX96" s="140"/>
    </row>
    <row r="97" spans="18:50" x14ac:dyDescent="0.25">
      <c r="R97" s="141">
        <f t="shared" si="1"/>
        <v>1422.8955825816452</v>
      </c>
      <c r="S97" s="142">
        <v>0</v>
      </c>
      <c r="T97" s="142">
        <v>0</v>
      </c>
      <c r="U97" s="142">
        <v>0</v>
      </c>
      <c r="V97" s="142">
        <v>0</v>
      </c>
      <c r="W97" s="142">
        <v>0</v>
      </c>
      <c r="X97" s="142">
        <v>0</v>
      </c>
      <c r="Y97" s="142">
        <v>0</v>
      </c>
      <c r="Z97" s="142">
        <v>0</v>
      </c>
      <c r="AA97" s="142">
        <v>0</v>
      </c>
      <c r="AB97" s="142">
        <v>0</v>
      </c>
      <c r="AC97" s="142">
        <v>0</v>
      </c>
      <c r="AD97" s="142">
        <v>0</v>
      </c>
      <c r="AE97" s="142">
        <v>0</v>
      </c>
      <c r="AF97" s="142">
        <v>0</v>
      </c>
      <c r="AG97" s="142">
        <v>0</v>
      </c>
      <c r="AH97" s="142">
        <v>0</v>
      </c>
      <c r="AI97" s="142">
        <v>0</v>
      </c>
      <c r="AJ97" s="142">
        <v>0</v>
      </c>
      <c r="AK97" s="142">
        <v>0</v>
      </c>
      <c r="AL97" s="142">
        <v>0</v>
      </c>
      <c r="AM97" s="142">
        <v>0</v>
      </c>
      <c r="AN97" s="142">
        <v>0</v>
      </c>
      <c r="AO97" s="142">
        <v>0</v>
      </c>
      <c r="AP97" s="142">
        <v>0</v>
      </c>
      <c r="AQ97" s="142">
        <v>0</v>
      </c>
      <c r="AR97" s="142">
        <v>0</v>
      </c>
      <c r="AS97" s="142">
        <v>0</v>
      </c>
      <c r="AT97" s="142">
        <v>0</v>
      </c>
      <c r="AU97" s="142">
        <v>0</v>
      </c>
      <c r="AV97" s="142">
        <v>0</v>
      </c>
      <c r="AW97" s="142">
        <v>0</v>
      </c>
      <c r="AX97" s="140"/>
    </row>
    <row r="98" spans="18:50" x14ac:dyDescent="0.25">
      <c r="R98" s="141">
        <f t="shared" si="1"/>
        <v>1479.811405884911</v>
      </c>
      <c r="S98" s="142">
        <v>0</v>
      </c>
      <c r="T98" s="142">
        <v>0</v>
      </c>
      <c r="U98" s="142">
        <v>0</v>
      </c>
      <c r="V98" s="142">
        <v>0</v>
      </c>
      <c r="W98" s="142">
        <v>0</v>
      </c>
      <c r="X98" s="142">
        <v>0</v>
      </c>
      <c r="Y98" s="142">
        <v>0</v>
      </c>
      <c r="Z98" s="142">
        <v>0</v>
      </c>
      <c r="AA98" s="142">
        <v>0</v>
      </c>
      <c r="AB98" s="142">
        <v>0</v>
      </c>
      <c r="AC98" s="142">
        <v>0</v>
      </c>
      <c r="AD98" s="142">
        <v>0</v>
      </c>
      <c r="AE98" s="142">
        <v>0</v>
      </c>
      <c r="AF98" s="142">
        <v>0</v>
      </c>
      <c r="AG98" s="142">
        <v>0</v>
      </c>
      <c r="AH98" s="142">
        <v>0</v>
      </c>
      <c r="AI98" s="142">
        <v>0</v>
      </c>
      <c r="AJ98" s="142">
        <v>0</v>
      </c>
      <c r="AK98" s="142">
        <v>0</v>
      </c>
      <c r="AL98" s="142">
        <v>0</v>
      </c>
      <c r="AM98" s="142">
        <v>0</v>
      </c>
      <c r="AN98" s="142">
        <v>0</v>
      </c>
      <c r="AO98" s="142">
        <v>0</v>
      </c>
      <c r="AP98" s="142">
        <v>0</v>
      </c>
      <c r="AQ98" s="142">
        <v>0</v>
      </c>
      <c r="AR98" s="142">
        <v>0</v>
      </c>
      <c r="AS98" s="142">
        <v>0</v>
      </c>
      <c r="AT98" s="142">
        <v>0</v>
      </c>
      <c r="AU98" s="142">
        <v>0</v>
      </c>
      <c r="AV98" s="142">
        <v>0</v>
      </c>
      <c r="AW98" s="142">
        <v>0</v>
      </c>
      <c r="AX98" s="140"/>
    </row>
    <row r="99" spans="18:50" x14ac:dyDescent="0.25">
      <c r="R99" s="141">
        <f t="shared" si="1"/>
        <v>1536.7272291881768</v>
      </c>
      <c r="S99" s="142">
        <v>0</v>
      </c>
      <c r="T99" s="142">
        <v>0</v>
      </c>
      <c r="U99" s="142">
        <v>0</v>
      </c>
      <c r="V99" s="142">
        <v>0</v>
      </c>
      <c r="W99" s="142">
        <v>0</v>
      </c>
      <c r="X99" s="142">
        <v>0</v>
      </c>
      <c r="Y99" s="142">
        <v>0</v>
      </c>
      <c r="Z99" s="142">
        <v>0</v>
      </c>
      <c r="AA99" s="142">
        <v>0</v>
      </c>
      <c r="AB99" s="142">
        <v>0</v>
      </c>
      <c r="AC99" s="142">
        <v>0</v>
      </c>
      <c r="AD99" s="142">
        <v>0</v>
      </c>
      <c r="AE99" s="142">
        <v>0</v>
      </c>
      <c r="AF99" s="142">
        <v>0</v>
      </c>
      <c r="AG99" s="142">
        <v>0</v>
      </c>
      <c r="AH99" s="142">
        <v>0</v>
      </c>
      <c r="AI99" s="142">
        <v>0</v>
      </c>
      <c r="AJ99" s="142">
        <v>0</v>
      </c>
      <c r="AK99" s="142">
        <v>0</v>
      </c>
      <c r="AL99" s="142">
        <v>0</v>
      </c>
      <c r="AM99" s="142">
        <v>0</v>
      </c>
      <c r="AN99" s="142">
        <v>0</v>
      </c>
      <c r="AO99" s="142">
        <v>0</v>
      </c>
      <c r="AP99" s="142">
        <v>0</v>
      </c>
      <c r="AQ99" s="142">
        <v>0</v>
      </c>
      <c r="AR99" s="142">
        <v>0</v>
      </c>
      <c r="AS99" s="142">
        <v>0</v>
      </c>
      <c r="AT99" s="142">
        <v>0</v>
      </c>
      <c r="AU99" s="142">
        <v>0</v>
      </c>
      <c r="AV99" s="142">
        <v>0</v>
      </c>
      <c r="AW99" s="142">
        <v>0</v>
      </c>
      <c r="AX99" s="140"/>
    </row>
    <row r="100" spans="18:50" x14ac:dyDescent="0.25">
      <c r="R100" s="141">
        <f t="shared" si="1"/>
        <v>1593.6430524914426</v>
      </c>
      <c r="S100" s="142">
        <v>0</v>
      </c>
      <c r="T100" s="142">
        <v>0</v>
      </c>
      <c r="U100" s="142">
        <v>0</v>
      </c>
      <c r="V100" s="142">
        <v>0</v>
      </c>
      <c r="W100" s="142">
        <v>0</v>
      </c>
      <c r="X100" s="142">
        <v>0</v>
      </c>
      <c r="Y100" s="142">
        <v>0</v>
      </c>
      <c r="Z100" s="142">
        <v>0</v>
      </c>
      <c r="AA100" s="142">
        <v>0</v>
      </c>
      <c r="AB100" s="142">
        <v>0</v>
      </c>
      <c r="AC100" s="142">
        <v>0</v>
      </c>
      <c r="AD100" s="142">
        <v>0</v>
      </c>
      <c r="AE100" s="142">
        <v>0</v>
      </c>
      <c r="AF100" s="142">
        <v>0</v>
      </c>
      <c r="AG100" s="142">
        <v>0</v>
      </c>
      <c r="AH100" s="142">
        <v>0</v>
      </c>
      <c r="AI100" s="142">
        <v>0</v>
      </c>
      <c r="AJ100" s="142">
        <v>0</v>
      </c>
      <c r="AK100" s="142">
        <v>0</v>
      </c>
      <c r="AL100" s="142">
        <v>0</v>
      </c>
      <c r="AM100" s="142">
        <v>0</v>
      </c>
      <c r="AN100" s="142">
        <v>0</v>
      </c>
      <c r="AO100" s="142">
        <v>0</v>
      </c>
      <c r="AP100" s="142">
        <v>0</v>
      </c>
      <c r="AQ100" s="142">
        <v>0</v>
      </c>
      <c r="AR100" s="142">
        <v>0</v>
      </c>
      <c r="AS100" s="142">
        <v>0</v>
      </c>
      <c r="AT100" s="142">
        <v>0</v>
      </c>
      <c r="AU100" s="142">
        <v>0</v>
      </c>
      <c r="AV100" s="142">
        <v>0</v>
      </c>
      <c r="AW100" s="142">
        <v>0</v>
      </c>
      <c r="AX100" s="140"/>
    </row>
    <row r="101" spans="18:50" x14ac:dyDescent="0.25">
      <c r="R101" s="141">
        <f t="shared" si="1"/>
        <v>1650.5588757947085</v>
      </c>
      <c r="S101" s="142">
        <v>0</v>
      </c>
      <c r="T101" s="142">
        <v>0</v>
      </c>
      <c r="U101" s="142">
        <v>0</v>
      </c>
      <c r="V101" s="142">
        <v>0</v>
      </c>
      <c r="W101" s="142">
        <v>0</v>
      </c>
      <c r="X101" s="142">
        <v>0</v>
      </c>
      <c r="Y101" s="142">
        <v>0</v>
      </c>
      <c r="Z101" s="142">
        <v>0</v>
      </c>
      <c r="AA101" s="142">
        <v>0</v>
      </c>
      <c r="AB101" s="142">
        <v>0</v>
      </c>
      <c r="AC101" s="142">
        <v>0</v>
      </c>
      <c r="AD101" s="142">
        <v>0</v>
      </c>
      <c r="AE101" s="142">
        <v>0</v>
      </c>
      <c r="AF101" s="142">
        <v>0</v>
      </c>
      <c r="AG101" s="142">
        <v>0</v>
      </c>
      <c r="AH101" s="142">
        <v>0</v>
      </c>
      <c r="AI101" s="142">
        <v>0</v>
      </c>
      <c r="AJ101" s="142">
        <v>0</v>
      </c>
      <c r="AK101" s="142">
        <v>0</v>
      </c>
      <c r="AL101" s="142">
        <v>0</v>
      </c>
      <c r="AM101" s="142">
        <v>0</v>
      </c>
      <c r="AN101" s="142">
        <v>0</v>
      </c>
      <c r="AO101" s="142">
        <v>0</v>
      </c>
      <c r="AP101" s="142">
        <v>0</v>
      </c>
      <c r="AQ101" s="142">
        <v>0</v>
      </c>
      <c r="AR101" s="142">
        <v>0</v>
      </c>
      <c r="AS101" s="142">
        <v>0</v>
      </c>
      <c r="AT101" s="142">
        <v>0</v>
      </c>
      <c r="AU101" s="142">
        <v>0</v>
      </c>
      <c r="AV101" s="142">
        <v>0</v>
      </c>
      <c r="AW101" s="142">
        <v>0</v>
      </c>
      <c r="AX101" s="140"/>
    </row>
    <row r="102" spans="18:50" x14ac:dyDescent="0.25">
      <c r="R102" s="141">
        <f t="shared" si="1"/>
        <v>1707.4746990979741</v>
      </c>
      <c r="S102" s="142">
        <v>0</v>
      </c>
      <c r="T102" s="142">
        <v>0</v>
      </c>
      <c r="U102" s="142">
        <v>0</v>
      </c>
      <c r="V102" s="142">
        <v>0</v>
      </c>
      <c r="W102" s="142">
        <v>0</v>
      </c>
      <c r="X102" s="142">
        <v>0</v>
      </c>
      <c r="Y102" s="142">
        <v>0</v>
      </c>
      <c r="Z102" s="142">
        <v>0</v>
      </c>
      <c r="AA102" s="142">
        <v>0</v>
      </c>
      <c r="AB102" s="142">
        <v>0</v>
      </c>
      <c r="AC102" s="142">
        <v>0</v>
      </c>
      <c r="AD102" s="142">
        <v>0</v>
      </c>
      <c r="AE102" s="142">
        <v>0</v>
      </c>
      <c r="AF102" s="142">
        <v>0</v>
      </c>
      <c r="AG102" s="142">
        <v>0</v>
      </c>
      <c r="AH102" s="142">
        <v>0</v>
      </c>
      <c r="AI102" s="142">
        <v>0</v>
      </c>
      <c r="AJ102" s="142">
        <v>0</v>
      </c>
      <c r="AK102" s="142">
        <v>0</v>
      </c>
      <c r="AL102" s="142">
        <v>0</v>
      </c>
      <c r="AM102" s="142">
        <v>0</v>
      </c>
      <c r="AN102" s="142">
        <v>0</v>
      </c>
      <c r="AO102" s="142">
        <v>0</v>
      </c>
      <c r="AP102" s="142">
        <v>0</v>
      </c>
      <c r="AQ102" s="142">
        <v>0</v>
      </c>
      <c r="AR102" s="142">
        <v>0</v>
      </c>
      <c r="AS102" s="142">
        <v>0</v>
      </c>
      <c r="AT102" s="142">
        <v>0</v>
      </c>
      <c r="AU102" s="142">
        <v>0</v>
      </c>
      <c r="AV102" s="142">
        <v>0</v>
      </c>
      <c r="AW102" s="142">
        <v>0</v>
      </c>
      <c r="AX102" s="140"/>
    </row>
    <row r="103" spans="18:50" x14ac:dyDescent="0.25">
      <c r="R103" s="141">
        <f t="shared" si="1"/>
        <v>1764.3905224012399</v>
      </c>
      <c r="S103" s="142">
        <v>0</v>
      </c>
      <c r="T103" s="142">
        <v>0</v>
      </c>
      <c r="U103" s="142">
        <v>0</v>
      </c>
      <c r="V103" s="142">
        <v>0</v>
      </c>
      <c r="W103" s="142">
        <v>0</v>
      </c>
      <c r="X103" s="142">
        <v>0</v>
      </c>
      <c r="Y103" s="142">
        <v>0</v>
      </c>
      <c r="Z103" s="142">
        <v>0</v>
      </c>
      <c r="AA103" s="142">
        <v>0</v>
      </c>
      <c r="AB103" s="142">
        <v>0</v>
      </c>
      <c r="AC103" s="142">
        <v>0</v>
      </c>
      <c r="AD103" s="142">
        <v>0</v>
      </c>
      <c r="AE103" s="142">
        <v>0</v>
      </c>
      <c r="AF103" s="142">
        <v>0</v>
      </c>
      <c r="AG103" s="142">
        <v>0</v>
      </c>
      <c r="AH103" s="142">
        <v>0</v>
      </c>
      <c r="AI103" s="142">
        <v>0</v>
      </c>
      <c r="AJ103" s="142">
        <v>0</v>
      </c>
      <c r="AK103" s="142">
        <v>0</v>
      </c>
      <c r="AL103" s="142">
        <v>0</v>
      </c>
      <c r="AM103" s="142">
        <v>0</v>
      </c>
      <c r="AN103" s="142">
        <v>0</v>
      </c>
      <c r="AO103" s="142">
        <v>0</v>
      </c>
      <c r="AP103" s="142">
        <v>0</v>
      </c>
      <c r="AQ103" s="142">
        <v>0</v>
      </c>
      <c r="AR103" s="142">
        <v>0</v>
      </c>
      <c r="AS103" s="142">
        <v>0</v>
      </c>
      <c r="AT103" s="142">
        <v>0</v>
      </c>
      <c r="AU103" s="142">
        <v>0</v>
      </c>
      <c r="AV103" s="142">
        <v>0</v>
      </c>
      <c r="AW103" s="142">
        <v>0</v>
      </c>
      <c r="AX103" s="140"/>
    </row>
    <row r="104" spans="18:50" x14ac:dyDescent="0.25">
      <c r="R104" s="141">
        <f t="shared" si="1"/>
        <v>1821.3063457045057</v>
      </c>
      <c r="S104" s="142">
        <v>0</v>
      </c>
      <c r="T104" s="142">
        <v>0</v>
      </c>
      <c r="U104" s="142">
        <v>0</v>
      </c>
      <c r="V104" s="142">
        <v>0</v>
      </c>
      <c r="W104" s="142">
        <v>0</v>
      </c>
      <c r="X104" s="142">
        <v>0</v>
      </c>
      <c r="Y104" s="142">
        <v>0</v>
      </c>
      <c r="Z104" s="142">
        <v>0</v>
      </c>
      <c r="AA104" s="142">
        <v>0</v>
      </c>
      <c r="AB104" s="142">
        <v>0</v>
      </c>
      <c r="AC104" s="142">
        <v>0</v>
      </c>
      <c r="AD104" s="142">
        <v>0</v>
      </c>
      <c r="AE104" s="142">
        <v>0</v>
      </c>
      <c r="AF104" s="142">
        <v>0</v>
      </c>
      <c r="AG104" s="142">
        <v>0</v>
      </c>
      <c r="AH104" s="142">
        <v>0</v>
      </c>
      <c r="AI104" s="142">
        <v>0</v>
      </c>
      <c r="AJ104" s="142">
        <v>0</v>
      </c>
      <c r="AK104" s="142">
        <v>0</v>
      </c>
      <c r="AL104" s="142">
        <v>0</v>
      </c>
      <c r="AM104" s="142">
        <v>0</v>
      </c>
      <c r="AN104" s="142">
        <v>0</v>
      </c>
      <c r="AO104" s="142">
        <v>0</v>
      </c>
      <c r="AP104" s="142">
        <v>0</v>
      </c>
      <c r="AQ104" s="142">
        <v>0</v>
      </c>
      <c r="AR104" s="142">
        <v>0</v>
      </c>
      <c r="AS104" s="142">
        <v>0</v>
      </c>
      <c r="AT104" s="142">
        <v>0</v>
      </c>
      <c r="AU104" s="142">
        <v>0</v>
      </c>
      <c r="AV104" s="142">
        <v>0</v>
      </c>
      <c r="AW104" s="142">
        <v>0</v>
      </c>
      <c r="AX104" s="140"/>
    </row>
    <row r="105" spans="18:50" x14ac:dyDescent="0.25">
      <c r="R105" s="141">
        <f t="shared" si="1"/>
        <v>1878.2221690077715</v>
      </c>
      <c r="S105" s="142">
        <v>0</v>
      </c>
      <c r="T105" s="142">
        <v>0</v>
      </c>
      <c r="U105" s="142">
        <v>0</v>
      </c>
      <c r="V105" s="142">
        <v>0</v>
      </c>
      <c r="W105" s="142">
        <v>0</v>
      </c>
      <c r="X105" s="142">
        <v>0</v>
      </c>
      <c r="Y105" s="142">
        <v>0</v>
      </c>
      <c r="Z105" s="142">
        <v>0</v>
      </c>
      <c r="AA105" s="142">
        <v>0</v>
      </c>
      <c r="AB105" s="142">
        <v>0</v>
      </c>
      <c r="AC105" s="142">
        <v>0</v>
      </c>
      <c r="AD105" s="142">
        <v>0</v>
      </c>
      <c r="AE105" s="142">
        <v>0</v>
      </c>
      <c r="AF105" s="142">
        <v>0</v>
      </c>
      <c r="AG105" s="142">
        <v>0</v>
      </c>
      <c r="AH105" s="142">
        <v>0</v>
      </c>
      <c r="AI105" s="142">
        <v>0</v>
      </c>
      <c r="AJ105" s="142">
        <v>0</v>
      </c>
      <c r="AK105" s="142">
        <v>0</v>
      </c>
      <c r="AL105" s="142">
        <v>0</v>
      </c>
      <c r="AM105" s="142">
        <v>0</v>
      </c>
      <c r="AN105" s="142">
        <v>0</v>
      </c>
      <c r="AO105" s="142">
        <v>0</v>
      </c>
      <c r="AP105" s="142">
        <v>0</v>
      </c>
      <c r="AQ105" s="142">
        <v>0</v>
      </c>
      <c r="AR105" s="142">
        <v>0</v>
      </c>
      <c r="AS105" s="142">
        <v>0</v>
      </c>
      <c r="AT105" s="142">
        <v>0</v>
      </c>
      <c r="AU105" s="142">
        <v>0</v>
      </c>
      <c r="AV105" s="142">
        <v>0</v>
      </c>
      <c r="AW105" s="142">
        <v>0</v>
      </c>
    </row>
    <row r="106" spans="18:50" x14ac:dyDescent="0.25">
      <c r="R106" s="141">
        <f t="shared" si="1"/>
        <v>1935.1379923110374</v>
      </c>
      <c r="S106" s="142">
        <v>0</v>
      </c>
      <c r="T106" s="142">
        <v>0</v>
      </c>
      <c r="U106" s="142">
        <v>0</v>
      </c>
      <c r="V106" s="142">
        <v>0</v>
      </c>
      <c r="W106" s="142">
        <v>0</v>
      </c>
      <c r="X106" s="142">
        <v>0</v>
      </c>
      <c r="Y106" s="142">
        <v>0</v>
      </c>
      <c r="Z106" s="142">
        <v>0</v>
      </c>
      <c r="AA106" s="142">
        <v>0</v>
      </c>
      <c r="AB106" s="142">
        <v>0</v>
      </c>
      <c r="AC106" s="142">
        <v>0</v>
      </c>
      <c r="AD106" s="142">
        <v>0</v>
      </c>
      <c r="AE106" s="142">
        <v>0</v>
      </c>
      <c r="AF106" s="142">
        <v>0</v>
      </c>
      <c r="AG106" s="142">
        <v>0</v>
      </c>
      <c r="AH106" s="142">
        <v>0</v>
      </c>
      <c r="AI106" s="142">
        <v>0</v>
      </c>
      <c r="AJ106" s="142">
        <v>0</v>
      </c>
      <c r="AK106" s="142">
        <v>0</v>
      </c>
      <c r="AL106" s="142">
        <v>0</v>
      </c>
      <c r="AM106" s="142">
        <v>0</v>
      </c>
      <c r="AN106" s="142">
        <v>0</v>
      </c>
      <c r="AO106" s="142">
        <v>0</v>
      </c>
      <c r="AP106" s="142">
        <v>0</v>
      </c>
      <c r="AQ106" s="142">
        <v>0</v>
      </c>
      <c r="AR106" s="142">
        <v>0</v>
      </c>
      <c r="AS106" s="142">
        <v>0</v>
      </c>
      <c r="AT106" s="142">
        <v>0</v>
      </c>
      <c r="AU106" s="142">
        <v>0</v>
      </c>
      <c r="AV106" s="142">
        <v>0</v>
      </c>
      <c r="AW106" s="142">
        <v>0</v>
      </c>
    </row>
    <row r="107" spans="18:50" x14ac:dyDescent="0.25">
      <c r="R107" s="141">
        <f t="shared" si="1"/>
        <v>1992.0538156143032</v>
      </c>
      <c r="S107" s="142">
        <v>0</v>
      </c>
      <c r="T107" s="142">
        <v>0</v>
      </c>
      <c r="U107" s="142">
        <v>0</v>
      </c>
      <c r="V107" s="142">
        <v>0</v>
      </c>
      <c r="W107" s="142">
        <v>0</v>
      </c>
      <c r="X107" s="142">
        <v>0</v>
      </c>
      <c r="Y107" s="142">
        <v>0</v>
      </c>
      <c r="Z107" s="142">
        <v>0</v>
      </c>
      <c r="AA107" s="142">
        <v>0</v>
      </c>
      <c r="AB107" s="142">
        <v>0</v>
      </c>
      <c r="AC107" s="142">
        <v>0</v>
      </c>
      <c r="AD107" s="142">
        <v>0</v>
      </c>
      <c r="AE107" s="142">
        <v>0</v>
      </c>
      <c r="AF107" s="142">
        <v>0</v>
      </c>
      <c r="AG107" s="142">
        <v>0</v>
      </c>
      <c r="AH107" s="142">
        <v>0</v>
      </c>
      <c r="AI107" s="142">
        <v>0</v>
      </c>
      <c r="AJ107" s="142">
        <v>0</v>
      </c>
      <c r="AK107" s="142">
        <v>0</v>
      </c>
      <c r="AL107" s="142">
        <v>0</v>
      </c>
      <c r="AM107" s="142">
        <v>0</v>
      </c>
      <c r="AN107" s="142">
        <v>0</v>
      </c>
      <c r="AO107" s="142">
        <v>0</v>
      </c>
      <c r="AP107" s="142">
        <v>0</v>
      </c>
      <c r="AQ107" s="142">
        <v>0</v>
      </c>
      <c r="AR107" s="142">
        <v>0</v>
      </c>
      <c r="AS107" s="142">
        <v>0</v>
      </c>
      <c r="AT107" s="142">
        <v>0</v>
      </c>
      <c r="AU107" s="142">
        <v>0</v>
      </c>
      <c r="AV107" s="142">
        <v>0</v>
      </c>
      <c r="AW107" s="142">
        <v>0</v>
      </c>
    </row>
    <row r="108" spans="18:50" x14ac:dyDescent="0.25">
      <c r="R108" s="141">
        <f t="shared" si="1"/>
        <v>2048.9696389175692</v>
      </c>
      <c r="S108" s="142">
        <v>0</v>
      </c>
      <c r="T108" s="142">
        <v>0</v>
      </c>
      <c r="U108" s="142">
        <v>0</v>
      </c>
      <c r="V108" s="142">
        <v>0</v>
      </c>
      <c r="W108" s="142">
        <v>0</v>
      </c>
      <c r="X108" s="142">
        <v>0</v>
      </c>
      <c r="Y108" s="142">
        <v>0</v>
      </c>
      <c r="Z108" s="142">
        <v>0</v>
      </c>
      <c r="AA108" s="142">
        <v>0</v>
      </c>
      <c r="AB108" s="142">
        <v>0</v>
      </c>
      <c r="AC108" s="142">
        <v>0</v>
      </c>
      <c r="AD108" s="142">
        <v>0</v>
      </c>
      <c r="AE108" s="142">
        <v>0</v>
      </c>
      <c r="AF108" s="142">
        <v>0</v>
      </c>
      <c r="AG108" s="142">
        <v>0</v>
      </c>
      <c r="AH108" s="142">
        <v>0</v>
      </c>
      <c r="AI108" s="142">
        <v>0</v>
      </c>
      <c r="AJ108" s="142">
        <v>0</v>
      </c>
      <c r="AK108" s="142">
        <v>0</v>
      </c>
      <c r="AL108" s="142">
        <v>0</v>
      </c>
      <c r="AM108" s="142">
        <v>0</v>
      </c>
      <c r="AN108" s="142">
        <v>0</v>
      </c>
      <c r="AO108" s="142">
        <v>0</v>
      </c>
      <c r="AP108" s="142">
        <v>0</v>
      </c>
      <c r="AQ108" s="142">
        <v>0</v>
      </c>
      <c r="AR108" s="142">
        <v>0</v>
      </c>
      <c r="AS108" s="142">
        <v>0</v>
      </c>
      <c r="AT108" s="142">
        <v>0</v>
      </c>
      <c r="AU108" s="142">
        <v>0</v>
      </c>
      <c r="AV108" s="142">
        <v>0</v>
      </c>
      <c r="AW108" s="142">
        <v>0</v>
      </c>
    </row>
    <row r="109" spans="18:50" x14ac:dyDescent="0.25">
      <c r="R109" s="141">
        <f t="shared" si="1"/>
        <v>2105.8854622208351</v>
      </c>
      <c r="S109" s="142">
        <v>0</v>
      </c>
      <c r="T109" s="142">
        <v>0</v>
      </c>
      <c r="U109" s="142">
        <v>0</v>
      </c>
      <c r="V109" s="142">
        <v>0</v>
      </c>
      <c r="W109" s="142">
        <v>0</v>
      </c>
      <c r="X109" s="142">
        <v>0</v>
      </c>
      <c r="Y109" s="142">
        <v>0</v>
      </c>
      <c r="Z109" s="142">
        <v>0</v>
      </c>
      <c r="AA109" s="142">
        <v>0</v>
      </c>
      <c r="AB109" s="142">
        <v>0</v>
      </c>
      <c r="AC109" s="142">
        <v>0</v>
      </c>
      <c r="AD109" s="142">
        <v>0</v>
      </c>
      <c r="AE109" s="142">
        <v>0</v>
      </c>
      <c r="AF109" s="142">
        <v>0</v>
      </c>
      <c r="AG109" s="142">
        <v>0</v>
      </c>
      <c r="AH109" s="142">
        <v>0</v>
      </c>
      <c r="AI109" s="142">
        <v>0</v>
      </c>
      <c r="AJ109" s="142">
        <v>0</v>
      </c>
      <c r="AK109" s="142">
        <v>0</v>
      </c>
      <c r="AL109" s="142">
        <v>0</v>
      </c>
      <c r="AM109" s="142">
        <v>0</v>
      </c>
      <c r="AN109" s="142">
        <v>0</v>
      </c>
      <c r="AO109" s="142">
        <v>0</v>
      </c>
      <c r="AP109" s="142">
        <v>0</v>
      </c>
      <c r="AQ109" s="142">
        <v>0</v>
      </c>
      <c r="AR109" s="142">
        <v>0</v>
      </c>
      <c r="AS109" s="142">
        <v>0</v>
      </c>
      <c r="AT109" s="142">
        <v>0</v>
      </c>
      <c r="AU109" s="142">
        <v>0</v>
      </c>
      <c r="AV109" s="142">
        <v>0</v>
      </c>
      <c r="AW109" s="142">
        <v>0</v>
      </c>
    </row>
    <row r="110" spans="18:50" x14ac:dyDescent="0.25">
      <c r="R110" s="141">
        <f t="shared" si="1"/>
        <v>2162.8012855241009</v>
      </c>
      <c r="S110" s="142">
        <v>0</v>
      </c>
      <c r="T110" s="142">
        <v>0</v>
      </c>
      <c r="U110" s="142">
        <v>0</v>
      </c>
      <c r="V110" s="142">
        <v>0</v>
      </c>
      <c r="W110" s="142">
        <v>0</v>
      </c>
      <c r="X110" s="142">
        <v>0</v>
      </c>
      <c r="Y110" s="142">
        <v>0</v>
      </c>
      <c r="Z110" s="142">
        <v>0</v>
      </c>
      <c r="AA110" s="142">
        <v>0</v>
      </c>
      <c r="AB110" s="142">
        <v>0</v>
      </c>
      <c r="AC110" s="142">
        <v>0</v>
      </c>
      <c r="AD110" s="142">
        <v>0</v>
      </c>
      <c r="AE110" s="142">
        <v>0</v>
      </c>
      <c r="AF110" s="142">
        <v>0</v>
      </c>
      <c r="AG110" s="142">
        <v>0</v>
      </c>
      <c r="AH110" s="142">
        <v>0</v>
      </c>
      <c r="AI110" s="142">
        <v>0</v>
      </c>
      <c r="AJ110" s="142">
        <v>0</v>
      </c>
      <c r="AK110" s="142">
        <v>0</v>
      </c>
      <c r="AL110" s="142">
        <v>0</v>
      </c>
      <c r="AM110" s="142">
        <v>0</v>
      </c>
      <c r="AN110" s="142">
        <v>0</v>
      </c>
      <c r="AO110" s="142">
        <v>0</v>
      </c>
      <c r="AP110" s="142">
        <v>0</v>
      </c>
      <c r="AQ110" s="142">
        <v>0</v>
      </c>
      <c r="AR110" s="142">
        <v>0</v>
      </c>
      <c r="AS110" s="142">
        <v>0</v>
      </c>
      <c r="AT110" s="142">
        <v>0</v>
      </c>
      <c r="AU110" s="142">
        <v>0</v>
      </c>
      <c r="AV110" s="142">
        <v>0</v>
      </c>
      <c r="AW110" s="142">
        <v>0</v>
      </c>
    </row>
    <row r="111" spans="18:50" x14ac:dyDescent="0.25">
      <c r="R111" s="141">
        <f t="shared" si="1"/>
        <v>2219.7171088273667</v>
      </c>
      <c r="S111" s="142">
        <v>0</v>
      </c>
      <c r="T111" s="142">
        <v>0</v>
      </c>
      <c r="U111" s="142">
        <v>0</v>
      </c>
      <c r="V111" s="142">
        <v>0</v>
      </c>
      <c r="W111" s="142">
        <v>0</v>
      </c>
      <c r="X111" s="142">
        <v>0</v>
      </c>
      <c r="Y111" s="142">
        <v>0</v>
      </c>
      <c r="Z111" s="142">
        <v>0</v>
      </c>
      <c r="AA111" s="142">
        <v>0</v>
      </c>
      <c r="AB111" s="142">
        <v>0</v>
      </c>
      <c r="AC111" s="142">
        <v>0</v>
      </c>
      <c r="AD111" s="142">
        <v>0</v>
      </c>
      <c r="AE111" s="142">
        <v>0</v>
      </c>
      <c r="AF111" s="142">
        <v>0</v>
      </c>
      <c r="AG111" s="142">
        <v>0</v>
      </c>
      <c r="AH111" s="142">
        <v>0</v>
      </c>
      <c r="AI111" s="142">
        <v>0</v>
      </c>
      <c r="AJ111" s="142">
        <v>0</v>
      </c>
      <c r="AK111" s="142">
        <v>0</v>
      </c>
      <c r="AL111" s="142">
        <v>0</v>
      </c>
      <c r="AM111" s="142">
        <v>0</v>
      </c>
      <c r="AN111" s="142">
        <v>0</v>
      </c>
      <c r="AO111" s="142">
        <v>0</v>
      </c>
      <c r="AP111" s="142">
        <v>0</v>
      </c>
      <c r="AQ111" s="142">
        <v>0</v>
      </c>
      <c r="AR111" s="142">
        <v>0</v>
      </c>
      <c r="AS111" s="142">
        <v>0</v>
      </c>
      <c r="AT111" s="142">
        <v>0</v>
      </c>
      <c r="AU111" s="142">
        <v>0</v>
      </c>
      <c r="AV111" s="142">
        <v>0</v>
      </c>
      <c r="AW111" s="142">
        <v>0</v>
      </c>
    </row>
    <row r="112" spans="18:50" x14ac:dyDescent="0.25">
      <c r="R112" s="141">
        <f t="shared" si="1"/>
        <v>2276.6329321306321</v>
      </c>
      <c r="S112" s="142">
        <v>0</v>
      </c>
      <c r="T112" s="142">
        <v>0</v>
      </c>
      <c r="U112" s="142">
        <v>0</v>
      </c>
      <c r="V112" s="142">
        <v>0</v>
      </c>
      <c r="W112" s="142">
        <v>0</v>
      </c>
      <c r="X112" s="142">
        <v>0</v>
      </c>
      <c r="Y112" s="142">
        <v>0</v>
      </c>
      <c r="Z112" s="142">
        <v>0</v>
      </c>
      <c r="AA112" s="142">
        <v>0</v>
      </c>
      <c r="AB112" s="142">
        <v>0</v>
      </c>
      <c r="AC112" s="142">
        <v>0</v>
      </c>
      <c r="AD112" s="142">
        <v>0</v>
      </c>
      <c r="AE112" s="142">
        <v>0</v>
      </c>
      <c r="AF112" s="142">
        <v>0</v>
      </c>
      <c r="AG112" s="142">
        <v>0</v>
      </c>
      <c r="AH112" s="142">
        <v>0</v>
      </c>
      <c r="AI112" s="142">
        <v>0</v>
      </c>
      <c r="AJ112" s="142">
        <v>0</v>
      </c>
      <c r="AK112" s="142">
        <v>0</v>
      </c>
      <c r="AL112" s="142">
        <v>0</v>
      </c>
      <c r="AM112" s="142">
        <v>0</v>
      </c>
      <c r="AN112" s="142">
        <v>0</v>
      </c>
      <c r="AO112" s="142">
        <v>0</v>
      </c>
      <c r="AP112" s="142">
        <v>0</v>
      </c>
      <c r="AQ112" s="142">
        <v>0</v>
      </c>
      <c r="AR112" s="142">
        <v>0</v>
      </c>
      <c r="AS112" s="142">
        <v>0</v>
      </c>
      <c r="AT112" s="142">
        <v>0</v>
      </c>
      <c r="AU112" s="142">
        <v>0</v>
      </c>
      <c r="AV112" s="142">
        <v>0</v>
      </c>
      <c r="AW112" s="142">
        <v>0</v>
      </c>
    </row>
    <row r="113" spans="18:49" x14ac:dyDescent="0.25">
      <c r="R113" s="141">
        <f t="shared" si="1"/>
        <v>2333.5487554338979</v>
      </c>
      <c r="S113" s="142">
        <v>0</v>
      </c>
      <c r="T113" s="142">
        <v>0</v>
      </c>
      <c r="U113" s="142">
        <v>0</v>
      </c>
      <c r="V113" s="142">
        <v>0</v>
      </c>
      <c r="W113" s="142">
        <v>0</v>
      </c>
      <c r="X113" s="142">
        <v>0</v>
      </c>
      <c r="Y113" s="142">
        <v>0</v>
      </c>
      <c r="Z113" s="142">
        <v>0</v>
      </c>
      <c r="AA113" s="142">
        <v>0</v>
      </c>
      <c r="AB113" s="142">
        <v>0</v>
      </c>
      <c r="AC113" s="142">
        <v>0</v>
      </c>
      <c r="AD113" s="142">
        <v>0</v>
      </c>
      <c r="AE113" s="142">
        <v>0</v>
      </c>
      <c r="AF113" s="142">
        <v>0</v>
      </c>
      <c r="AG113" s="142">
        <v>0</v>
      </c>
      <c r="AH113" s="142">
        <v>0</v>
      </c>
      <c r="AI113" s="142">
        <v>0</v>
      </c>
      <c r="AJ113" s="142">
        <v>0</v>
      </c>
      <c r="AK113" s="142">
        <v>0</v>
      </c>
      <c r="AL113" s="142">
        <v>0</v>
      </c>
      <c r="AM113" s="142">
        <v>0</v>
      </c>
      <c r="AN113" s="142">
        <v>0</v>
      </c>
      <c r="AO113" s="142">
        <v>0</v>
      </c>
      <c r="AP113" s="142">
        <v>0</v>
      </c>
      <c r="AQ113" s="142">
        <v>0</v>
      </c>
      <c r="AR113" s="142">
        <v>0</v>
      </c>
      <c r="AS113" s="142">
        <v>0</v>
      </c>
      <c r="AT113" s="142">
        <v>0</v>
      </c>
      <c r="AU113" s="142">
        <v>0</v>
      </c>
      <c r="AV113" s="142">
        <v>0</v>
      </c>
      <c r="AW113" s="142">
        <v>0</v>
      </c>
    </row>
    <row r="114" spans="18:49" x14ac:dyDescent="0.25">
      <c r="R114" s="141">
        <f t="shared" si="1"/>
        <v>2390.4645787371637</v>
      </c>
      <c r="S114" s="142">
        <v>0</v>
      </c>
      <c r="T114" s="142">
        <v>0</v>
      </c>
      <c r="U114" s="142">
        <v>0</v>
      </c>
      <c r="V114" s="142">
        <v>0</v>
      </c>
      <c r="W114" s="142">
        <v>0</v>
      </c>
      <c r="X114" s="142">
        <v>0</v>
      </c>
      <c r="Y114" s="142">
        <v>0</v>
      </c>
      <c r="Z114" s="142">
        <v>0</v>
      </c>
      <c r="AA114" s="142">
        <v>0</v>
      </c>
      <c r="AB114" s="142">
        <v>0</v>
      </c>
      <c r="AC114" s="142">
        <v>0</v>
      </c>
      <c r="AD114" s="142">
        <v>0</v>
      </c>
      <c r="AE114" s="142">
        <v>0</v>
      </c>
      <c r="AF114" s="142">
        <v>0</v>
      </c>
      <c r="AG114" s="142">
        <v>0</v>
      </c>
      <c r="AH114" s="142">
        <v>0</v>
      </c>
      <c r="AI114" s="142">
        <v>0</v>
      </c>
      <c r="AJ114" s="142">
        <v>0</v>
      </c>
      <c r="AK114" s="142">
        <v>0</v>
      </c>
      <c r="AL114" s="142">
        <v>0</v>
      </c>
      <c r="AM114" s="142">
        <v>0</v>
      </c>
      <c r="AN114" s="142">
        <v>0</v>
      </c>
      <c r="AO114" s="142">
        <v>0</v>
      </c>
      <c r="AP114" s="142">
        <v>0</v>
      </c>
      <c r="AQ114" s="142">
        <v>0</v>
      </c>
      <c r="AR114" s="142">
        <v>0</v>
      </c>
      <c r="AS114" s="142">
        <v>0</v>
      </c>
      <c r="AT114" s="142">
        <v>0</v>
      </c>
      <c r="AU114" s="142">
        <v>0</v>
      </c>
      <c r="AV114" s="142">
        <v>0</v>
      </c>
      <c r="AW114" s="142">
        <v>0</v>
      </c>
    </row>
    <row r="115" spans="18:49" x14ac:dyDescent="0.25">
      <c r="R115" s="141">
        <f t="shared" si="1"/>
        <v>2447.3804020404295</v>
      </c>
      <c r="S115" s="142">
        <v>0</v>
      </c>
      <c r="T115" s="142">
        <v>0</v>
      </c>
      <c r="U115" s="142">
        <v>0</v>
      </c>
      <c r="V115" s="142">
        <v>0</v>
      </c>
      <c r="W115" s="142">
        <v>0</v>
      </c>
      <c r="X115" s="142">
        <v>0</v>
      </c>
      <c r="Y115" s="142">
        <v>0</v>
      </c>
      <c r="Z115" s="142">
        <v>0</v>
      </c>
      <c r="AA115" s="142">
        <v>0</v>
      </c>
      <c r="AB115" s="142">
        <v>0</v>
      </c>
      <c r="AC115" s="142">
        <v>0</v>
      </c>
      <c r="AD115" s="142">
        <v>0</v>
      </c>
      <c r="AE115" s="142">
        <v>0</v>
      </c>
      <c r="AF115" s="142">
        <v>0</v>
      </c>
      <c r="AG115" s="142">
        <v>0</v>
      </c>
      <c r="AH115" s="142">
        <v>0</v>
      </c>
      <c r="AI115" s="142">
        <v>0</v>
      </c>
      <c r="AJ115" s="142">
        <v>0</v>
      </c>
      <c r="AK115" s="142">
        <v>0</v>
      </c>
      <c r="AL115" s="142">
        <v>0</v>
      </c>
      <c r="AM115" s="142">
        <v>0</v>
      </c>
      <c r="AN115" s="142">
        <v>0</v>
      </c>
      <c r="AO115" s="142">
        <v>0</v>
      </c>
      <c r="AP115" s="142">
        <v>0</v>
      </c>
      <c r="AQ115" s="142">
        <v>0</v>
      </c>
      <c r="AR115" s="142">
        <v>0</v>
      </c>
      <c r="AS115" s="142">
        <v>0</v>
      </c>
      <c r="AT115" s="142">
        <v>0</v>
      </c>
      <c r="AU115" s="142">
        <v>0</v>
      </c>
      <c r="AV115" s="142">
        <v>0</v>
      </c>
      <c r="AW115" s="142">
        <v>0</v>
      </c>
    </row>
    <row r="116" spans="18:49" x14ac:dyDescent="0.25">
      <c r="R116" s="141">
        <f t="shared" si="1"/>
        <v>2504.2962253436954</v>
      </c>
      <c r="S116" s="142">
        <v>0</v>
      </c>
      <c r="T116" s="142">
        <v>0</v>
      </c>
      <c r="U116" s="142">
        <v>0</v>
      </c>
      <c r="V116" s="142">
        <v>0</v>
      </c>
      <c r="W116" s="142">
        <v>0</v>
      </c>
      <c r="X116" s="142">
        <v>0</v>
      </c>
      <c r="Y116" s="142">
        <v>0</v>
      </c>
      <c r="Z116" s="142">
        <v>0</v>
      </c>
      <c r="AA116" s="142">
        <v>0</v>
      </c>
      <c r="AB116" s="142">
        <v>0</v>
      </c>
      <c r="AC116" s="142">
        <v>0</v>
      </c>
      <c r="AD116" s="142">
        <v>0</v>
      </c>
      <c r="AE116" s="142">
        <v>0</v>
      </c>
      <c r="AF116" s="142">
        <v>0</v>
      </c>
      <c r="AG116" s="142">
        <v>0</v>
      </c>
      <c r="AH116" s="142">
        <v>0</v>
      </c>
      <c r="AI116" s="142">
        <v>0</v>
      </c>
      <c r="AJ116" s="142">
        <v>0</v>
      </c>
      <c r="AK116" s="142">
        <v>0</v>
      </c>
      <c r="AL116" s="142">
        <v>0</v>
      </c>
      <c r="AM116" s="142">
        <v>0</v>
      </c>
      <c r="AN116" s="142">
        <v>0</v>
      </c>
      <c r="AO116" s="142">
        <v>0</v>
      </c>
      <c r="AP116" s="142">
        <v>0</v>
      </c>
      <c r="AQ116" s="142">
        <v>0</v>
      </c>
      <c r="AR116" s="142">
        <v>0</v>
      </c>
      <c r="AS116" s="142">
        <v>0</v>
      </c>
      <c r="AT116" s="142">
        <v>0</v>
      </c>
      <c r="AU116" s="142">
        <v>0</v>
      </c>
      <c r="AV116" s="142">
        <v>0</v>
      </c>
      <c r="AW116" s="142">
        <v>0</v>
      </c>
    </row>
    <row r="117" spans="18:49" x14ac:dyDescent="0.25">
      <c r="R117" s="141">
        <f t="shared" si="1"/>
        <v>2561.2120486469612</v>
      </c>
      <c r="S117" s="142">
        <v>0</v>
      </c>
      <c r="T117" s="142">
        <v>0</v>
      </c>
      <c r="U117" s="142">
        <v>0</v>
      </c>
      <c r="V117" s="142">
        <v>0</v>
      </c>
      <c r="W117" s="142">
        <v>0</v>
      </c>
      <c r="X117" s="142">
        <v>0</v>
      </c>
      <c r="Y117" s="142">
        <v>0</v>
      </c>
      <c r="Z117" s="142">
        <v>0</v>
      </c>
      <c r="AA117" s="142">
        <v>0</v>
      </c>
      <c r="AB117" s="142">
        <v>0</v>
      </c>
      <c r="AC117" s="142">
        <v>0</v>
      </c>
      <c r="AD117" s="142">
        <v>0</v>
      </c>
      <c r="AE117" s="142">
        <v>0</v>
      </c>
      <c r="AF117" s="142">
        <v>0</v>
      </c>
      <c r="AG117" s="142">
        <v>0</v>
      </c>
      <c r="AH117" s="142">
        <v>0</v>
      </c>
      <c r="AI117" s="142">
        <v>0</v>
      </c>
      <c r="AJ117" s="142">
        <v>0</v>
      </c>
      <c r="AK117" s="142">
        <v>0</v>
      </c>
      <c r="AL117" s="142">
        <v>0</v>
      </c>
      <c r="AM117" s="142">
        <v>0</v>
      </c>
      <c r="AN117" s="142">
        <v>0</v>
      </c>
      <c r="AO117" s="142">
        <v>0</v>
      </c>
      <c r="AP117" s="142">
        <v>0</v>
      </c>
      <c r="AQ117" s="142">
        <v>0</v>
      </c>
      <c r="AR117" s="142">
        <v>0</v>
      </c>
      <c r="AS117" s="142">
        <v>0</v>
      </c>
      <c r="AT117" s="142">
        <v>0</v>
      </c>
      <c r="AU117" s="142">
        <v>0</v>
      </c>
      <c r="AV117" s="142">
        <v>0</v>
      </c>
      <c r="AW117" s="142">
        <v>0</v>
      </c>
    </row>
    <row r="118" spans="18:49" x14ac:dyDescent="0.25">
      <c r="R118" s="141">
        <f t="shared" si="1"/>
        <v>2618.1278719502275</v>
      </c>
      <c r="S118" s="142">
        <v>0</v>
      </c>
      <c r="T118" s="142">
        <v>0</v>
      </c>
      <c r="U118" s="142">
        <v>0</v>
      </c>
      <c r="V118" s="142">
        <v>0</v>
      </c>
      <c r="W118" s="142">
        <v>0</v>
      </c>
      <c r="X118" s="142">
        <v>0</v>
      </c>
      <c r="Y118" s="142">
        <v>0</v>
      </c>
      <c r="Z118" s="142">
        <v>0</v>
      </c>
      <c r="AA118" s="142">
        <v>0</v>
      </c>
      <c r="AB118" s="142">
        <v>0</v>
      </c>
      <c r="AC118" s="142">
        <v>0</v>
      </c>
      <c r="AD118" s="142">
        <v>0</v>
      </c>
      <c r="AE118" s="142">
        <v>0</v>
      </c>
      <c r="AF118" s="142">
        <v>0</v>
      </c>
      <c r="AG118" s="142">
        <v>0</v>
      </c>
      <c r="AH118" s="142">
        <v>0</v>
      </c>
      <c r="AI118" s="142">
        <v>0</v>
      </c>
      <c r="AJ118" s="142">
        <v>0</v>
      </c>
      <c r="AK118" s="142">
        <v>0</v>
      </c>
      <c r="AL118" s="142">
        <v>0</v>
      </c>
      <c r="AM118" s="142">
        <v>0</v>
      </c>
      <c r="AN118" s="142">
        <v>0</v>
      </c>
      <c r="AO118" s="142">
        <v>0</v>
      </c>
      <c r="AP118" s="142">
        <v>0</v>
      </c>
      <c r="AQ118" s="142">
        <v>0</v>
      </c>
      <c r="AR118" s="142">
        <v>0</v>
      </c>
      <c r="AS118" s="142">
        <v>0</v>
      </c>
      <c r="AT118" s="142">
        <v>0</v>
      </c>
      <c r="AU118" s="142">
        <v>0</v>
      </c>
      <c r="AV118" s="142">
        <v>0</v>
      </c>
      <c r="AW118" s="142">
        <v>0</v>
      </c>
    </row>
    <row r="119" spans="18:49" x14ac:dyDescent="0.25">
      <c r="R119" s="141">
        <f t="shared" si="1"/>
        <v>2675.0436952534928</v>
      </c>
      <c r="S119" s="142">
        <v>0</v>
      </c>
      <c r="T119" s="142">
        <v>0</v>
      </c>
      <c r="U119" s="142">
        <v>0</v>
      </c>
      <c r="V119" s="142">
        <v>0</v>
      </c>
      <c r="W119" s="142">
        <v>0</v>
      </c>
      <c r="X119" s="142">
        <v>0</v>
      </c>
      <c r="Y119" s="142">
        <v>0</v>
      </c>
      <c r="Z119" s="142">
        <v>0</v>
      </c>
      <c r="AA119" s="142">
        <v>0</v>
      </c>
      <c r="AB119" s="142">
        <v>0</v>
      </c>
      <c r="AC119" s="142">
        <v>0</v>
      </c>
      <c r="AD119" s="142">
        <v>0</v>
      </c>
      <c r="AE119" s="142">
        <v>0</v>
      </c>
      <c r="AF119" s="142">
        <v>0</v>
      </c>
      <c r="AG119" s="142">
        <v>0</v>
      </c>
      <c r="AH119" s="142">
        <v>0</v>
      </c>
      <c r="AI119" s="142">
        <v>0</v>
      </c>
      <c r="AJ119" s="142">
        <v>0</v>
      </c>
      <c r="AK119" s="142">
        <v>0</v>
      </c>
      <c r="AL119" s="142">
        <v>0</v>
      </c>
      <c r="AM119" s="142">
        <v>0</v>
      </c>
      <c r="AN119" s="142">
        <v>0</v>
      </c>
      <c r="AO119" s="142">
        <v>0</v>
      </c>
      <c r="AP119" s="142">
        <v>0</v>
      </c>
      <c r="AQ119" s="142">
        <v>0</v>
      </c>
      <c r="AR119" s="142">
        <v>0</v>
      </c>
      <c r="AS119" s="142">
        <v>0</v>
      </c>
      <c r="AT119" s="142">
        <v>0</v>
      </c>
      <c r="AU119" s="142">
        <v>0</v>
      </c>
      <c r="AV119" s="142">
        <v>0</v>
      </c>
      <c r="AW119" s="142">
        <v>0</v>
      </c>
    </row>
    <row r="120" spans="18:49" x14ac:dyDescent="0.25">
      <c r="R120" s="141">
        <f t="shared" si="1"/>
        <v>2731.9595185567591</v>
      </c>
      <c r="S120" s="142">
        <v>0</v>
      </c>
      <c r="T120" s="142">
        <v>0</v>
      </c>
      <c r="U120" s="142">
        <v>0</v>
      </c>
      <c r="V120" s="142">
        <v>0</v>
      </c>
      <c r="W120" s="142">
        <v>0</v>
      </c>
      <c r="X120" s="142">
        <v>0</v>
      </c>
      <c r="Y120" s="142">
        <v>0</v>
      </c>
      <c r="Z120" s="142">
        <v>0</v>
      </c>
      <c r="AA120" s="142">
        <v>0</v>
      </c>
      <c r="AB120" s="142">
        <v>0</v>
      </c>
      <c r="AC120" s="142">
        <v>0</v>
      </c>
      <c r="AD120" s="142">
        <v>0</v>
      </c>
      <c r="AE120" s="142">
        <v>0</v>
      </c>
      <c r="AF120" s="142">
        <v>0</v>
      </c>
      <c r="AG120" s="142">
        <v>0</v>
      </c>
      <c r="AH120" s="142">
        <v>0</v>
      </c>
      <c r="AI120" s="142">
        <v>0</v>
      </c>
      <c r="AJ120" s="142">
        <v>0</v>
      </c>
      <c r="AK120" s="142">
        <v>0</v>
      </c>
      <c r="AL120" s="142">
        <v>0</v>
      </c>
      <c r="AM120" s="142">
        <v>0</v>
      </c>
      <c r="AN120" s="142">
        <v>0</v>
      </c>
      <c r="AO120" s="142">
        <v>0</v>
      </c>
      <c r="AP120" s="142">
        <v>0</v>
      </c>
      <c r="AQ120" s="142">
        <v>0</v>
      </c>
      <c r="AR120" s="142">
        <v>0</v>
      </c>
      <c r="AS120" s="142">
        <v>0</v>
      </c>
      <c r="AT120" s="142">
        <v>0</v>
      </c>
      <c r="AU120" s="142">
        <v>0</v>
      </c>
      <c r="AV120" s="142">
        <v>0</v>
      </c>
      <c r="AW120" s="142">
        <v>0</v>
      </c>
    </row>
    <row r="121" spans="18:49" x14ac:dyDescent="0.25">
      <c r="R121" s="141">
        <f t="shared" si="1"/>
        <v>2788.8753418600245</v>
      </c>
      <c r="S121" s="142">
        <v>0</v>
      </c>
      <c r="T121" s="142">
        <v>0</v>
      </c>
      <c r="U121" s="142">
        <v>0</v>
      </c>
      <c r="V121" s="142">
        <v>0</v>
      </c>
      <c r="W121" s="142">
        <v>0</v>
      </c>
      <c r="X121" s="142">
        <v>0</v>
      </c>
      <c r="Y121" s="142">
        <v>0</v>
      </c>
      <c r="Z121" s="142">
        <v>0</v>
      </c>
      <c r="AA121" s="142">
        <v>0</v>
      </c>
      <c r="AB121" s="142">
        <v>0</v>
      </c>
      <c r="AC121" s="142">
        <v>0</v>
      </c>
      <c r="AD121" s="142">
        <v>0</v>
      </c>
      <c r="AE121" s="142">
        <v>0</v>
      </c>
      <c r="AF121" s="142">
        <v>0</v>
      </c>
      <c r="AG121" s="142">
        <v>0</v>
      </c>
      <c r="AH121" s="142">
        <v>0</v>
      </c>
      <c r="AI121" s="142">
        <v>0</v>
      </c>
      <c r="AJ121" s="142">
        <v>0</v>
      </c>
      <c r="AK121" s="142">
        <v>0</v>
      </c>
      <c r="AL121" s="142">
        <v>0</v>
      </c>
      <c r="AM121" s="142">
        <v>0</v>
      </c>
      <c r="AN121" s="142">
        <v>0</v>
      </c>
      <c r="AO121" s="142">
        <v>0</v>
      </c>
      <c r="AP121" s="142">
        <v>0</v>
      </c>
      <c r="AQ121" s="142">
        <v>0</v>
      </c>
      <c r="AR121" s="142">
        <v>0</v>
      </c>
      <c r="AS121" s="142">
        <v>0</v>
      </c>
      <c r="AT121" s="142">
        <v>0</v>
      </c>
      <c r="AU121" s="142">
        <v>0</v>
      </c>
      <c r="AV121" s="142">
        <v>0</v>
      </c>
      <c r="AW121" s="142">
        <v>0</v>
      </c>
    </row>
    <row r="122" spans="18:49" x14ac:dyDescent="0.25">
      <c r="R122" s="141">
        <f t="shared" si="1"/>
        <v>2845.7911651632903</v>
      </c>
      <c r="S122" s="142">
        <v>0</v>
      </c>
      <c r="T122" s="142">
        <v>0</v>
      </c>
      <c r="U122" s="142">
        <v>0</v>
      </c>
      <c r="V122" s="142">
        <v>0</v>
      </c>
      <c r="W122" s="142">
        <v>0</v>
      </c>
      <c r="X122" s="142">
        <v>0</v>
      </c>
      <c r="Y122" s="142">
        <v>0</v>
      </c>
      <c r="Z122" s="142">
        <v>0</v>
      </c>
      <c r="AA122" s="142">
        <v>0</v>
      </c>
      <c r="AB122" s="142">
        <v>0</v>
      </c>
      <c r="AC122" s="142">
        <v>0</v>
      </c>
      <c r="AD122" s="142">
        <v>0</v>
      </c>
      <c r="AE122" s="142">
        <v>0</v>
      </c>
      <c r="AF122" s="142">
        <v>0</v>
      </c>
      <c r="AG122" s="142">
        <v>0</v>
      </c>
      <c r="AH122" s="142">
        <v>0</v>
      </c>
      <c r="AI122" s="142">
        <v>0</v>
      </c>
      <c r="AJ122" s="142">
        <v>0</v>
      </c>
      <c r="AK122" s="142">
        <v>0</v>
      </c>
      <c r="AL122" s="142">
        <v>0</v>
      </c>
      <c r="AM122" s="142">
        <v>0</v>
      </c>
      <c r="AN122" s="142">
        <v>0</v>
      </c>
      <c r="AO122" s="142">
        <v>0</v>
      </c>
      <c r="AP122" s="142">
        <v>0</v>
      </c>
      <c r="AQ122" s="142">
        <v>0</v>
      </c>
      <c r="AR122" s="142">
        <v>0</v>
      </c>
      <c r="AS122" s="142">
        <v>0</v>
      </c>
      <c r="AT122" s="142">
        <v>0</v>
      </c>
      <c r="AU122" s="142">
        <v>0</v>
      </c>
      <c r="AV122" s="142">
        <v>0</v>
      </c>
      <c r="AW122" s="142">
        <v>0</v>
      </c>
    </row>
    <row r="123" spans="18:49" x14ac:dyDescent="0.25">
      <c r="R123" s="141">
        <f t="shared" si="1"/>
        <v>2902.7069884665561</v>
      </c>
      <c r="S123" s="142">
        <v>0</v>
      </c>
      <c r="T123" s="142">
        <v>0</v>
      </c>
      <c r="U123" s="142">
        <v>0</v>
      </c>
      <c r="V123" s="142">
        <v>0</v>
      </c>
      <c r="W123" s="142">
        <v>0</v>
      </c>
      <c r="X123" s="142">
        <v>0</v>
      </c>
      <c r="Y123" s="142">
        <v>0</v>
      </c>
      <c r="Z123" s="142">
        <v>0</v>
      </c>
      <c r="AA123" s="142">
        <v>0</v>
      </c>
      <c r="AB123" s="142">
        <v>0</v>
      </c>
      <c r="AC123" s="142">
        <v>0</v>
      </c>
      <c r="AD123" s="142">
        <v>0</v>
      </c>
      <c r="AE123" s="142">
        <v>0</v>
      </c>
      <c r="AF123" s="142">
        <v>0</v>
      </c>
      <c r="AG123" s="142">
        <v>0</v>
      </c>
      <c r="AH123" s="142">
        <v>0</v>
      </c>
      <c r="AI123" s="142">
        <v>0</v>
      </c>
      <c r="AJ123" s="142">
        <v>0</v>
      </c>
      <c r="AK123" s="142">
        <v>0</v>
      </c>
      <c r="AL123" s="142">
        <v>0</v>
      </c>
      <c r="AM123" s="142">
        <v>0</v>
      </c>
      <c r="AN123" s="142">
        <v>0</v>
      </c>
      <c r="AO123" s="142">
        <v>0</v>
      </c>
      <c r="AP123" s="142">
        <v>0</v>
      </c>
      <c r="AQ123" s="142">
        <v>0</v>
      </c>
      <c r="AR123" s="142">
        <v>0</v>
      </c>
      <c r="AS123" s="142">
        <v>0</v>
      </c>
      <c r="AT123" s="142">
        <v>0</v>
      </c>
      <c r="AU123" s="142">
        <v>0</v>
      </c>
      <c r="AV123" s="142">
        <v>0</v>
      </c>
      <c r="AW123" s="142">
        <v>0</v>
      </c>
    </row>
    <row r="124" spans="18:49" x14ac:dyDescent="0.25">
      <c r="R124" s="141">
        <f t="shared" si="1"/>
        <v>2959.622811769822</v>
      </c>
      <c r="S124" s="142">
        <v>0</v>
      </c>
      <c r="T124" s="142">
        <v>0</v>
      </c>
      <c r="U124" s="142">
        <v>0</v>
      </c>
      <c r="V124" s="142">
        <v>0</v>
      </c>
      <c r="W124" s="142">
        <v>0</v>
      </c>
      <c r="X124" s="142">
        <v>0</v>
      </c>
      <c r="Y124" s="142">
        <v>0</v>
      </c>
      <c r="Z124" s="142">
        <v>0</v>
      </c>
      <c r="AA124" s="142">
        <v>0</v>
      </c>
      <c r="AB124" s="142">
        <v>0</v>
      </c>
      <c r="AC124" s="142">
        <v>0</v>
      </c>
      <c r="AD124" s="142">
        <v>0</v>
      </c>
      <c r="AE124" s="142">
        <v>0</v>
      </c>
      <c r="AF124" s="142">
        <v>0</v>
      </c>
      <c r="AG124" s="142">
        <v>0</v>
      </c>
      <c r="AH124" s="142">
        <v>0</v>
      </c>
      <c r="AI124" s="142">
        <v>0</v>
      </c>
      <c r="AJ124" s="142">
        <v>0</v>
      </c>
      <c r="AK124" s="142">
        <v>0</v>
      </c>
      <c r="AL124" s="142">
        <v>0</v>
      </c>
      <c r="AM124" s="142">
        <v>0</v>
      </c>
      <c r="AN124" s="142">
        <v>0</v>
      </c>
      <c r="AO124" s="142">
        <v>0</v>
      </c>
      <c r="AP124" s="142">
        <v>0</v>
      </c>
      <c r="AQ124" s="142">
        <v>0</v>
      </c>
      <c r="AR124" s="142">
        <v>0</v>
      </c>
      <c r="AS124" s="142">
        <v>0</v>
      </c>
      <c r="AT124" s="142">
        <v>0</v>
      </c>
      <c r="AU124" s="142">
        <v>0</v>
      </c>
      <c r="AV124" s="142">
        <v>0</v>
      </c>
      <c r="AW124" s="142">
        <v>0</v>
      </c>
    </row>
    <row r="125" spans="18:49" x14ac:dyDescent="0.25">
      <c r="R125" s="141">
        <f t="shared" si="1"/>
        <v>3016.5386350730882</v>
      </c>
      <c r="S125" s="142">
        <v>0</v>
      </c>
      <c r="T125" s="142">
        <v>0</v>
      </c>
      <c r="U125" s="142">
        <v>0</v>
      </c>
      <c r="V125" s="142">
        <v>0</v>
      </c>
      <c r="W125" s="142">
        <v>0</v>
      </c>
      <c r="X125" s="142">
        <v>0</v>
      </c>
      <c r="Y125" s="142">
        <v>0</v>
      </c>
      <c r="Z125" s="142">
        <v>0</v>
      </c>
      <c r="AA125" s="142">
        <v>0</v>
      </c>
      <c r="AB125" s="142">
        <v>0</v>
      </c>
      <c r="AC125" s="142">
        <v>0</v>
      </c>
      <c r="AD125" s="142">
        <v>0</v>
      </c>
      <c r="AE125" s="142">
        <v>0</v>
      </c>
      <c r="AF125" s="142">
        <v>0</v>
      </c>
      <c r="AG125" s="142">
        <v>0</v>
      </c>
      <c r="AH125" s="142">
        <v>0</v>
      </c>
      <c r="AI125" s="142">
        <v>0</v>
      </c>
      <c r="AJ125" s="142">
        <v>0</v>
      </c>
      <c r="AK125" s="142">
        <v>0</v>
      </c>
      <c r="AL125" s="142">
        <v>0</v>
      </c>
      <c r="AM125" s="142">
        <v>0</v>
      </c>
      <c r="AN125" s="142">
        <v>0</v>
      </c>
      <c r="AO125" s="142">
        <v>0</v>
      </c>
      <c r="AP125" s="142">
        <v>0</v>
      </c>
      <c r="AQ125" s="142">
        <v>0</v>
      </c>
      <c r="AR125" s="142">
        <v>0</v>
      </c>
      <c r="AS125" s="142">
        <v>0</v>
      </c>
      <c r="AT125" s="142">
        <v>0</v>
      </c>
      <c r="AU125" s="142">
        <v>0</v>
      </c>
      <c r="AV125" s="142">
        <v>0</v>
      </c>
      <c r="AW125" s="142">
        <v>0</v>
      </c>
    </row>
    <row r="126" spans="18:49" x14ac:dyDescent="0.25">
      <c r="R126" s="141">
        <f t="shared" si="1"/>
        <v>3073.4544583763536</v>
      </c>
      <c r="S126" s="142">
        <v>0</v>
      </c>
      <c r="T126" s="142">
        <v>0</v>
      </c>
      <c r="U126" s="142">
        <v>0</v>
      </c>
      <c r="V126" s="142">
        <v>0</v>
      </c>
      <c r="W126" s="142">
        <v>0</v>
      </c>
      <c r="X126" s="142">
        <v>0</v>
      </c>
      <c r="Y126" s="142">
        <v>0</v>
      </c>
      <c r="Z126" s="142">
        <v>0</v>
      </c>
      <c r="AA126" s="142">
        <v>0</v>
      </c>
      <c r="AB126" s="142">
        <v>0</v>
      </c>
      <c r="AC126" s="142">
        <v>0</v>
      </c>
      <c r="AD126" s="142">
        <v>0</v>
      </c>
      <c r="AE126" s="142">
        <v>0</v>
      </c>
      <c r="AF126" s="142">
        <v>0</v>
      </c>
      <c r="AG126" s="142">
        <v>0</v>
      </c>
      <c r="AH126" s="142">
        <v>0</v>
      </c>
      <c r="AI126" s="142">
        <v>0</v>
      </c>
      <c r="AJ126" s="142">
        <v>0</v>
      </c>
      <c r="AK126" s="142">
        <v>0</v>
      </c>
      <c r="AL126" s="142">
        <v>0</v>
      </c>
      <c r="AM126" s="142">
        <v>0</v>
      </c>
      <c r="AN126" s="142">
        <v>0</v>
      </c>
      <c r="AO126" s="142">
        <v>0</v>
      </c>
      <c r="AP126" s="142">
        <v>0</v>
      </c>
      <c r="AQ126" s="142">
        <v>0</v>
      </c>
      <c r="AR126" s="142">
        <v>0</v>
      </c>
      <c r="AS126" s="142">
        <v>0</v>
      </c>
      <c r="AT126" s="142">
        <v>0</v>
      </c>
      <c r="AU126" s="142">
        <v>0</v>
      </c>
      <c r="AV126" s="142">
        <v>0</v>
      </c>
      <c r="AW126" s="142">
        <v>0</v>
      </c>
    </row>
    <row r="127" spans="18:49" x14ac:dyDescent="0.25">
      <c r="R127" s="141">
        <f t="shared" si="1"/>
        <v>3130.370281679619</v>
      </c>
      <c r="S127" s="142">
        <v>0</v>
      </c>
      <c r="T127" s="142">
        <v>0</v>
      </c>
      <c r="U127" s="142">
        <v>0</v>
      </c>
      <c r="V127" s="142">
        <v>0</v>
      </c>
      <c r="W127" s="142">
        <v>0</v>
      </c>
      <c r="X127" s="142">
        <v>0</v>
      </c>
      <c r="Y127" s="142">
        <v>0</v>
      </c>
      <c r="Z127" s="142">
        <v>0</v>
      </c>
      <c r="AA127" s="142">
        <v>0</v>
      </c>
      <c r="AB127" s="142">
        <v>0</v>
      </c>
      <c r="AC127" s="142">
        <v>0</v>
      </c>
      <c r="AD127" s="142">
        <v>0</v>
      </c>
      <c r="AE127" s="142">
        <v>0</v>
      </c>
      <c r="AF127" s="142">
        <v>0</v>
      </c>
      <c r="AG127" s="142">
        <v>0</v>
      </c>
      <c r="AH127" s="142">
        <v>0</v>
      </c>
      <c r="AI127" s="142">
        <v>0</v>
      </c>
      <c r="AJ127" s="142">
        <v>0</v>
      </c>
      <c r="AK127" s="142">
        <v>0</v>
      </c>
      <c r="AL127" s="142">
        <v>0</v>
      </c>
      <c r="AM127" s="142">
        <v>0</v>
      </c>
      <c r="AN127" s="142">
        <v>0</v>
      </c>
      <c r="AO127" s="142">
        <v>0</v>
      </c>
      <c r="AP127" s="142">
        <v>0</v>
      </c>
      <c r="AQ127" s="142">
        <v>0</v>
      </c>
      <c r="AR127" s="142">
        <v>0</v>
      </c>
      <c r="AS127" s="142">
        <v>0</v>
      </c>
      <c r="AT127" s="142">
        <v>0</v>
      </c>
      <c r="AU127" s="142">
        <v>0</v>
      </c>
      <c r="AV127" s="142">
        <v>0</v>
      </c>
      <c r="AW127" s="142">
        <v>0</v>
      </c>
    </row>
    <row r="128" spans="18:49" x14ac:dyDescent="0.25">
      <c r="R128" s="141">
        <f t="shared" si="1"/>
        <v>3187.2861049828853</v>
      </c>
      <c r="S128" s="142">
        <v>0</v>
      </c>
      <c r="T128" s="142">
        <v>0</v>
      </c>
      <c r="U128" s="142">
        <v>0</v>
      </c>
      <c r="V128" s="142">
        <v>0</v>
      </c>
      <c r="W128" s="142">
        <v>0</v>
      </c>
      <c r="X128" s="142">
        <v>0</v>
      </c>
      <c r="Y128" s="142">
        <v>0</v>
      </c>
      <c r="Z128" s="142">
        <v>0</v>
      </c>
      <c r="AA128" s="142">
        <v>0</v>
      </c>
      <c r="AB128" s="142">
        <v>0</v>
      </c>
      <c r="AC128" s="142">
        <v>0</v>
      </c>
      <c r="AD128" s="142">
        <v>0</v>
      </c>
      <c r="AE128" s="142">
        <v>0</v>
      </c>
      <c r="AF128" s="142">
        <v>0</v>
      </c>
      <c r="AG128" s="142">
        <v>0</v>
      </c>
      <c r="AH128" s="142">
        <v>0</v>
      </c>
      <c r="AI128" s="142">
        <v>0</v>
      </c>
      <c r="AJ128" s="142">
        <v>0</v>
      </c>
      <c r="AK128" s="142">
        <v>0</v>
      </c>
      <c r="AL128" s="142">
        <v>0</v>
      </c>
      <c r="AM128" s="142">
        <v>0</v>
      </c>
      <c r="AN128" s="142">
        <v>0</v>
      </c>
      <c r="AO128" s="142">
        <v>0</v>
      </c>
      <c r="AP128" s="142">
        <v>0</v>
      </c>
      <c r="AQ128" s="142">
        <v>0</v>
      </c>
      <c r="AR128" s="142">
        <v>0</v>
      </c>
      <c r="AS128" s="142">
        <v>0</v>
      </c>
      <c r="AT128" s="142">
        <v>0</v>
      </c>
      <c r="AU128" s="142">
        <v>0</v>
      </c>
      <c r="AV128" s="142">
        <v>0</v>
      </c>
      <c r="AW128" s="142">
        <v>0</v>
      </c>
    </row>
    <row r="129" spans="17:49" x14ac:dyDescent="0.25">
      <c r="R129" s="141">
        <f t="shared" si="1"/>
        <v>3244.2019282861506</v>
      </c>
      <c r="S129" s="142">
        <v>0</v>
      </c>
      <c r="T129" s="142">
        <v>0</v>
      </c>
      <c r="U129" s="142">
        <v>0</v>
      </c>
      <c r="V129" s="142">
        <v>0</v>
      </c>
      <c r="W129" s="142">
        <v>0</v>
      </c>
      <c r="X129" s="142">
        <v>0</v>
      </c>
      <c r="Y129" s="142">
        <v>0</v>
      </c>
      <c r="Z129" s="142">
        <v>0</v>
      </c>
      <c r="AA129" s="142">
        <v>0</v>
      </c>
      <c r="AB129" s="142">
        <v>0</v>
      </c>
      <c r="AC129" s="142">
        <v>0</v>
      </c>
      <c r="AD129" s="142">
        <v>0</v>
      </c>
      <c r="AE129" s="142">
        <v>0</v>
      </c>
      <c r="AF129" s="142">
        <v>0</v>
      </c>
      <c r="AG129" s="142">
        <v>0</v>
      </c>
      <c r="AH129" s="142">
        <v>0</v>
      </c>
      <c r="AI129" s="142">
        <v>0</v>
      </c>
      <c r="AJ129" s="142">
        <v>0</v>
      </c>
      <c r="AK129" s="142">
        <v>0</v>
      </c>
      <c r="AL129" s="142">
        <v>0</v>
      </c>
      <c r="AM129" s="142">
        <v>0</v>
      </c>
      <c r="AN129" s="142">
        <v>0</v>
      </c>
      <c r="AO129" s="142">
        <v>0</v>
      </c>
      <c r="AP129" s="142">
        <v>0</v>
      </c>
      <c r="AQ129" s="142">
        <v>0</v>
      </c>
      <c r="AR129" s="142">
        <v>0</v>
      </c>
      <c r="AS129" s="142">
        <v>0</v>
      </c>
      <c r="AT129" s="142">
        <v>0</v>
      </c>
      <c r="AU129" s="142">
        <v>0</v>
      </c>
      <c r="AV129" s="142">
        <v>0</v>
      </c>
      <c r="AW129" s="142">
        <v>0</v>
      </c>
    </row>
    <row r="130" spans="17:49" x14ac:dyDescent="0.25">
      <c r="R130" s="141">
        <f t="shared" si="1"/>
        <v>3301.1177515894169</v>
      </c>
      <c r="S130" s="142">
        <v>0</v>
      </c>
      <c r="T130" s="142">
        <v>0</v>
      </c>
      <c r="U130" s="142">
        <v>0</v>
      </c>
      <c r="V130" s="142">
        <v>0</v>
      </c>
      <c r="W130" s="142">
        <v>0</v>
      </c>
      <c r="X130" s="142">
        <v>0</v>
      </c>
      <c r="Y130" s="142">
        <v>0</v>
      </c>
      <c r="Z130" s="142">
        <v>0</v>
      </c>
      <c r="AA130" s="142">
        <v>0</v>
      </c>
      <c r="AB130" s="142">
        <v>0</v>
      </c>
      <c r="AC130" s="142">
        <v>0</v>
      </c>
      <c r="AD130" s="142">
        <v>0</v>
      </c>
      <c r="AE130" s="142">
        <v>0</v>
      </c>
      <c r="AF130" s="142">
        <v>0</v>
      </c>
      <c r="AG130" s="142">
        <v>0</v>
      </c>
      <c r="AH130" s="142">
        <v>0</v>
      </c>
      <c r="AI130" s="142">
        <v>0</v>
      </c>
      <c r="AJ130" s="142">
        <v>0</v>
      </c>
      <c r="AK130" s="142">
        <v>0</v>
      </c>
      <c r="AL130" s="142">
        <v>0</v>
      </c>
      <c r="AM130" s="142">
        <v>0</v>
      </c>
      <c r="AN130" s="142">
        <v>0</v>
      </c>
      <c r="AO130" s="142">
        <v>0</v>
      </c>
      <c r="AP130" s="142">
        <v>0</v>
      </c>
      <c r="AQ130" s="142">
        <v>0</v>
      </c>
      <c r="AR130" s="142">
        <v>0</v>
      </c>
      <c r="AS130" s="142">
        <v>0</v>
      </c>
      <c r="AT130" s="142">
        <v>0</v>
      </c>
      <c r="AU130" s="142">
        <v>0</v>
      </c>
      <c r="AV130" s="142">
        <v>0</v>
      </c>
      <c r="AW130" s="142">
        <v>0</v>
      </c>
    </row>
    <row r="131" spans="17:49" x14ac:dyDescent="0.25">
      <c r="R131" s="141">
        <f t="shared" si="1"/>
        <v>3358.0335748926823</v>
      </c>
      <c r="S131" s="142">
        <v>0</v>
      </c>
      <c r="T131" s="142">
        <v>0</v>
      </c>
      <c r="U131" s="142">
        <v>0</v>
      </c>
      <c r="V131" s="142">
        <v>0</v>
      </c>
      <c r="W131" s="142">
        <v>0</v>
      </c>
      <c r="X131" s="142">
        <v>0</v>
      </c>
      <c r="Y131" s="142">
        <v>0</v>
      </c>
      <c r="Z131" s="142">
        <v>0</v>
      </c>
      <c r="AA131" s="142">
        <v>0</v>
      </c>
      <c r="AB131" s="142">
        <v>0</v>
      </c>
      <c r="AC131" s="142">
        <v>0</v>
      </c>
      <c r="AD131" s="142">
        <v>0</v>
      </c>
      <c r="AE131" s="142">
        <v>0</v>
      </c>
      <c r="AF131" s="142">
        <v>0</v>
      </c>
      <c r="AG131" s="142">
        <v>0</v>
      </c>
      <c r="AH131" s="142">
        <v>0</v>
      </c>
      <c r="AI131" s="142">
        <v>0</v>
      </c>
      <c r="AJ131" s="142">
        <v>0</v>
      </c>
      <c r="AK131" s="142">
        <v>0</v>
      </c>
      <c r="AL131" s="142">
        <v>0</v>
      </c>
      <c r="AM131" s="142">
        <v>0</v>
      </c>
      <c r="AN131" s="142">
        <v>0</v>
      </c>
      <c r="AO131" s="142">
        <v>0</v>
      </c>
      <c r="AP131" s="142">
        <v>0</v>
      </c>
      <c r="AQ131" s="142">
        <v>0</v>
      </c>
      <c r="AR131" s="142">
        <v>0</v>
      </c>
      <c r="AS131" s="142">
        <v>0</v>
      </c>
      <c r="AT131" s="142">
        <v>0</v>
      </c>
      <c r="AU131" s="142">
        <v>0</v>
      </c>
      <c r="AV131" s="142">
        <v>0</v>
      </c>
      <c r="AW131" s="142">
        <v>0</v>
      </c>
    </row>
    <row r="132" spans="17:49" x14ac:dyDescent="0.25">
      <c r="R132" s="141">
        <f t="shared" si="1"/>
        <v>3500</v>
      </c>
      <c r="S132" s="142"/>
      <c r="T132" s="142"/>
      <c r="U132" s="142"/>
      <c r="V132" s="142"/>
      <c r="W132" s="142"/>
      <c r="X132" s="142"/>
      <c r="Y132" s="142"/>
      <c r="Z132" s="142"/>
      <c r="AA132" s="142"/>
      <c r="AB132" s="142"/>
      <c r="AC132" s="142"/>
      <c r="AD132" s="142"/>
      <c r="AE132" s="142"/>
      <c r="AF132" s="142"/>
      <c r="AG132" s="142"/>
      <c r="AH132" s="142"/>
      <c r="AI132" s="142"/>
      <c r="AJ132" s="142"/>
      <c r="AK132" s="142"/>
      <c r="AL132" s="142"/>
      <c r="AM132" s="142"/>
      <c r="AN132" s="142"/>
      <c r="AO132" s="142"/>
      <c r="AP132" s="142"/>
      <c r="AQ132" s="142"/>
      <c r="AR132" s="142"/>
      <c r="AS132" s="142"/>
      <c r="AT132" s="142"/>
      <c r="AU132" s="142"/>
      <c r="AV132" s="142"/>
      <c r="AW132" s="142"/>
    </row>
    <row r="133" spans="17:49" x14ac:dyDescent="0.25">
      <c r="R133" s="139"/>
    </row>
    <row r="134" spans="17:49" x14ac:dyDescent="0.25">
      <c r="R134" s="139"/>
    </row>
    <row r="135" spans="17:49" x14ac:dyDescent="0.25">
      <c r="R135" s="139"/>
    </row>
    <row r="136" spans="17:49" x14ac:dyDescent="0.25">
      <c r="R136" s="139"/>
    </row>
    <row r="137" spans="17:49" x14ac:dyDescent="0.25">
      <c r="R137" s="139"/>
    </row>
    <row r="138" spans="17:49" x14ac:dyDescent="0.25">
      <c r="R138" s="139"/>
    </row>
    <row r="139" spans="17:49" x14ac:dyDescent="0.25">
      <c r="Q139" s="14" t="s">
        <v>356</v>
      </c>
      <c r="R139" s="139"/>
      <c r="S139" t="s">
        <v>288</v>
      </c>
    </row>
    <row r="140" spans="17:49" x14ac:dyDescent="0.25">
      <c r="R140" s="141"/>
      <c r="S140" s="146">
        <f>S2</f>
        <v>0</v>
      </c>
      <c r="T140" s="146">
        <f t="shared" ref="T140:AW140" si="2">T2</f>
        <v>0.54861937440778163</v>
      </c>
      <c r="U140" s="146">
        <f t="shared" si="2"/>
        <v>1.2215284824543391</v>
      </c>
      <c r="V140" s="146">
        <f t="shared" si="2"/>
        <v>1.8944375905008966</v>
      </c>
      <c r="W140" s="146">
        <f t="shared" si="2"/>
        <v>2.5673466985474538</v>
      </c>
      <c r="X140" s="146">
        <f t="shared" si="2"/>
        <v>3.240255806594011</v>
      </c>
      <c r="Y140" s="146">
        <f t="shared" si="2"/>
        <v>3.9131649146405678</v>
      </c>
      <c r="Z140" s="146">
        <f t="shared" si="2"/>
        <v>4.5860740226871259</v>
      </c>
      <c r="AA140" s="146">
        <f t="shared" si="2"/>
        <v>5.2589831307336823</v>
      </c>
      <c r="AB140" s="146">
        <f t="shared" si="2"/>
        <v>5.9298016445403494</v>
      </c>
      <c r="AC140" s="146">
        <f t="shared" si="2"/>
        <v>6.5910900552124971</v>
      </c>
      <c r="AD140" s="146">
        <f t="shared" si="2"/>
        <v>7.2421904817248244</v>
      </c>
      <c r="AE140" s="146">
        <f t="shared" si="2"/>
        <v>7.8831029240773267</v>
      </c>
      <c r="AF140" s="146">
        <f t="shared" si="2"/>
        <v>8.5138273822700103</v>
      </c>
      <c r="AG140" s="146">
        <f t="shared" si="2"/>
        <v>9.1343638563028691</v>
      </c>
      <c r="AH140" s="146">
        <f t="shared" si="2"/>
        <v>9.7447123461759038</v>
      </c>
      <c r="AI140" s="146">
        <f t="shared" si="2"/>
        <v>10.344872851889122</v>
      </c>
      <c r="AJ140" s="146">
        <f t="shared" si="2"/>
        <v>10.934884056391423</v>
      </c>
      <c r="AK140" s="146">
        <f t="shared" si="2"/>
        <v>11.516198138590029</v>
      </c>
      <c r="AL140" s="146">
        <f t="shared" si="2"/>
        <v>12.089552858163778</v>
      </c>
      <c r="AM140" s="146">
        <f t="shared" si="2"/>
        <v>12.654948215112661</v>
      </c>
      <c r="AN140" s="146">
        <f t="shared" si="2"/>
        <v>13.212384209436692</v>
      </c>
      <c r="AO140" s="146">
        <f t="shared" si="2"/>
        <v>13.761860841135855</v>
      </c>
      <c r="AP140" s="146">
        <f t="shared" si="2"/>
        <v>14.303378110210154</v>
      </c>
      <c r="AQ140" s="146">
        <f t="shared" si="2"/>
        <v>14.836936016659598</v>
      </c>
      <c r="AR140" s="146">
        <f t="shared" si="2"/>
        <v>15.362534560484178</v>
      </c>
      <c r="AS140" s="146">
        <f t="shared" si="2"/>
        <v>15.880173741683901</v>
      </c>
      <c r="AT140" s="146">
        <f t="shared" si="2"/>
        <v>16.389853560258761</v>
      </c>
      <c r="AU140" s="146">
        <f t="shared" si="2"/>
        <v>16.891574016208757</v>
      </c>
      <c r="AV140" s="146">
        <f t="shared" si="2"/>
        <v>17.385335109533898</v>
      </c>
      <c r="AW140" s="146">
        <f t="shared" si="2"/>
        <v>17.871136840234175</v>
      </c>
    </row>
    <row r="141" spans="17:49" x14ac:dyDescent="0.25">
      <c r="Q141" t="s">
        <v>287</v>
      </c>
      <c r="R141" s="141"/>
      <c r="S141" s="142"/>
      <c r="T141" s="142"/>
      <c r="U141" s="142"/>
      <c r="V141" s="142"/>
      <c r="W141" s="142"/>
      <c r="X141" s="142"/>
      <c r="Y141" s="142"/>
      <c r="Z141" s="142"/>
      <c r="AA141" s="142"/>
      <c r="AB141" s="142"/>
      <c r="AC141" s="142"/>
      <c r="AD141" s="142"/>
      <c r="AE141" s="142"/>
      <c r="AF141" s="142"/>
      <c r="AG141" s="142"/>
      <c r="AH141" s="142"/>
      <c r="AI141" s="142"/>
      <c r="AJ141" s="142"/>
      <c r="AK141" s="142"/>
      <c r="AL141" s="142"/>
      <c r="AM141" s="142"/>
      <c r="AN141" s="142"/>
      <c r="AO141" s="142"/>
      <c r="AP141" s="142"/>
      <c r="AQ141" s="142"/>
      <c r="AR141" s="142"/>
      <c r="AS141" s="142"/>
      <c r="AT141" s="142"/>
      <c r="AU141" s="142"/>
      <c r="AV141" s="142"/>
      <c r="AW141" s="142"/>
    </row>
    <row r="142" spans="17:49" x14ac:dyDescent="0.25">
      <c r="R142" s="141">
        <f>R3</f>
        <v>0</v>
      </c>
      <c r="S142" s="142">
        <v>0</v>
      </c>
      <c r="T142" s="142">
        <v>0</v>
      </c>
      <c r="U142" s="142">
        <v>0</v>
      </c>
      <c r="V142" s="142">
        <v>0</v>
      </c>
      <c r="W142" s="142">
        <v>0</v>
      </c>
      <c r="X142" s="142">
        <v>0</v>
      </c>
      <c r="Y142" s="142">
        <v>0</v>
      </c>
      <c r="Z142" s="142">
        <v>0</v>
      </c>
      <c r="AA142" s="142">
        <v>0</v>
      </c>
      <c r="AB142" s="142">
        <v>0</v>
      </c>
      <c r="AC142" s="142">
        <v>0</v>
      </c>
      <c r="AD142" s="142">
        <v>0</v>
      </c>
      <c r="AE142" s="142">
        <v>0</v>
      </c>
      <c r="AF142" s="142">
        <v>0</v>
      </c>
      <c r="AG142" s="142">
        <v>0</v>
      </c>
      <c r="AH142" s="142">
        <v>0</v>
      </c>
      <c r="AI142" s="142">
        <v>0</v>
      </c>
      <c r="AJ142" s="142">
        <v>0</v>
      </c>
      <c r="AK142" s="142">
        <v>0</v>
      </c>
      <c r="AL142" s="142">
        <v>0</v>
      </c>
      <c r="AM142" s="142">
        <v>0</v>
      </c>
      <c r="AN142" s="142">
        <v>0</v>
      </c>
      <c r="AO142" s="142">
        <v>0</v>
      </c>
      <c r="AP142" s="142">
        <v>0</v>
      </c>
      <c r="AQ142" s="142">
        <v>0</v>
      </c>
      <c r="AR142" s="142">
        <v>0</v>
      </c>
      <c r="AS142" s="142">
        <v>0</v>
      </c>
      <c r="AT142" s="142">
        <v>0</v>
      </c>
      <c r="AU142" s="142">
        <v>0</v>
      </c>
      <c r="AV142" s="142">
        <v>0</v>
      </c>
      <c r="AW142" s="142">
        <v>0</v>
      </c>
    </row>
    <row r="143" spans="17:49" x14ac:dyDescent="0.25">
      <c r="R143" s="141">
        <f t="shared" ref="R143:R202" si="3">R4</f>
        <v>56.915823303265803</v>
      </c>
      <c r="S143" s="142">
        <v>0</v>
      </c>
      <c r="T143" s="142">
        <v>0</v>
      </c>
      <c r="U143" s="142">
        <v>0</v>
      </c>
      <c r="V143" s="142">
        <v>0</v>
      </c>
      <c r="W143" s="142">
        <v>0</v>
      </c>
      <c r="X143" s="142">
        <v>0</v>
      </c>
      <c r="Y143" s="142">
        <v>0</v>
      </c>
      <c r="Z143" s="142">
        <v>0</v>
      </c>
      <c r="AA143" s="142">
        <v>0</v>
      </c>
      <c r="AB143" s="142">
        <v>0</v>
      </c>
      <c r="AC143" s="142">
        <v>0</v>
      </c>
      <c r="AD143" s="142">
        <v>0</v>
      </c>
      <c r="AE143" s="142">
        <v>0</v>
      </c>
      <c r="AF143" s="142">
        <v>0</v>
      </c>
      <c r="AG143" s="142">
        <v>0</v>
      </c>
      <c r="AH143" s="142">
        <v>0</v>
      </c>
      <c r="AI143" s="142">
        <v>0</v>
      </c>
      <c r="AJ143" s="142">
        <v>0</v>
      </c>
      <c r="AK143" s="142">
        <v>0</v>
      </c>
      <c r="AL143" s="142">
        <v>0</v>
      </c>
      <c r="AM143" s="142">
        <v>0</v>
      </c>
      <c r="AN143" s="142">
        <v>0</v>
      </c>
      <c r="AO143" s="142">
        <v>0</v>
      </c>
      <c r="AP143" s="142">
        <v>0</v>
      </c>
      <c r="AQ143" s="142">
        <v>0</v>
      </c>
      <c r="AR143" s="142">
        <v>0</v>
      </c>
      <c r="AS143" s="142">
        <v>0</v>
      </c>
      <c r="AT143" s="142">
        <v>0</v>
      </c>
      <c r="AU143" s="142">
        <v>0</v>
      </c>
      <c r="AV143" s="142">
        <v>0</v>
      </c>
      <c r="AW143" s="142">
        <v>0</v>
      </c>
    </row>
    <row r="144" spans="17:49" x14ac:dyDescent="0.25">
      <c r="R144" s="141">
        <f t="shared" si="3"/>
        <v>113.83164660653161</v>
      </c>
      <c r="S144" s="142">
        <v>0</v>
      </c>
      <c r="T144" s="142">
        <v>0</v>
      </c>
      <c r="U144" s="142">
        <v>0</v>
      </c>
      <c r="V144" s="142">
        <v>0</v>
      </c>
      <c r="W144" s="142">
        <v>0</v>
      </c>
      <c r="X144" s="142">
        <v>0</v>
      </c>
      <c r="Y144" s="142">
        <v>0</v>
      </c>
      <c r="Z144" s="142">
        <v>0</v>
      </c>
      <c r="AA144" s="142">
        <v>0</v>
      </c>
      <c r="AB144" s="142">
        <v>0</v>
      </c>
      <c r="AC144" s="142">
        <v>0</v>
      </c>
      <c r="AD144" s="142">
        <v>0</v>
      </c>
      <c r="AE144" s="142">
        <v>0</v>
      </c>
      <c r="AF144" s="142">
        <v>0</v>
      </c>
      <c r="AG144" s="142">
        <v>0</v>
      </c>
      <c r="AH144" s="142">
        <v>0</v>
      </c>
      <c r="AI144" s="142">
        <v>0</v>
      </c>
      <c r="AJ144" s="142">
        <v>0</v>
      </c>
      <c r="AK144" s="142">
        <v>0</v>
      </c>
      <c r="AL144" s="142">
        <v>0</v>
      </c>
      <c r="AM144" s="142">
        <v>0</v>
      </c>
      <c r="AN144" s="142">
        <v>0</v>
      </c>
      <c r="AO144" s="142">
        <v>0</v>
      </c>
      <c r="AP144" s="142">
        <v>0</v>
      </c>
      <c r="AQ144" s="142">
        <v>0</v>
      </c>
      <c r="AR144" s="142">
        <v>0</v>
      </c>
      <c r="AS144" s="142">
        <v>0</v>
      </c>
      <c r="AT144" s="142">
        <v>0</v>
      </c>
      <c r="AU144" s="142">
        <v>0</v>
      </c>
      <c r="AV144" s="142">
        <v>0</v>
      </c>
      <c r="AW144" s="142">
        <v>0</v>
      </c>
    </row>
    <row r="145" spans="18:49" x14ac:dyDescent="0.25">
      <c r="R145" s="141">
        <f t="shared" si="3"/>
        <v>170.74746990979745</v>
      </c>
      <c r="S145" s="142">
        <v>0</v>
      </c>
      <c r="T145" s="142">
        <v>0</v>
      </c>
      <c r="U145" s="142">
        <v>0</v>
      </c>
      <c r="V145" s="142">
        <v>0</v>
      </c>
      <c r="W145" s="142">
        <v>0</v>
      </c>
      <c r="X145" s="142">
        <v>0</v>
      </c>
      <c r="Y145" s="142">
        <v>0</v>
      </c>
      <c r="Z145" s="142">
        <v>0</v>
      </c>
      <c r="AA145" s="142">
        <v>0</v>
      </c>
      <c r="AB145" s="142">
        <v>0</v>
      </c>
      <c r="AC145" s="142">
        <v>0</v>
      </c>
      <c r="AD145" s="142">
        <v>0</v>
      </c>
      <c r="AE145" s="142">
        <v>0</v>
      </c>
      <c r="AF145" s="142">
        <v>0</v>
      </c>
      <c r="AG145" s="142">
        <v>0</v>
      </c>
      <c r="AH145" s="142">
        <v>0</v>
      </c>
      <c r="AI145" s="142">
        <v>0</v>
      </c>
      <c r="AJ145" s="142">
        <v>0</v>
      </c>
      <c r="AK145" s="142">
        <v>0</v>
      </c>
      <c r="AL145" s="142">
        <v>0</v>
      </c>
      <c r="AM145" s="142">
        <v>0</v>
      </c>
      <c r="AN145" s="142">
        <v>0</v>
      </c>
      <c r="AO145" s="142">
        <v>0</v>
      </c>
      <c r="AP145" s="142">
        <v>0</v>
      </c>
      <c r="AQ145" s="142">
        <v>0</v>
      </c>
      <c r="AR145" s="142">
        <v>0</v>
      </c>
      <c r="AS145" s="142">
        <v>0</v>
      </c>
      <c r="AT145" s="142">
        <v>0</v>
      </c>
      <c r="AU145" s="142">
        <v>0</v>
      </c>
      <c r="AV145" s="142">
        <v>0</v>
      </c>
      <c r="AW145" s="142">
        <v>0</v>
      </c>
    </row>
    <row r="146" spans="18:49" x14ac:dyDescent="0.25">
      <c r="R146" s="141">
        <f t="shared" si="3"/>
        <v>227.66329321306321</v>
      </c>
      <c r="S146" s="142">
        <v>0</v>
      </c>
      <c r="T146" s="142">
        <v>0</v>
      </c>
      <c r="U146" s="142">
        <v>0</v>
      </c>
      <c r="V146" s="142">
        <v>0</v>
      </c>
      <c r="W146" s="142">
        <v>0</v>
      </c>
      <c r="X146" s="142">
        <v>0</v>
      </c>
      <c r="Y146" s="142">
        <v>0</v>
      </c>
      <c r="Z146" s="142">
        <v>0</v>
      </c>
      <c r="AA146" s="142">
        <v>0</v>
      </c>
      <c r="AB146" s="142">
        <v>0</v>
      </c>
      <c r="AC146" s="142">
        <v>0</v>
      </c>
      <c r="AD146" s="142">
        <v>0</v>
      </c>
      <c r="AE146" s="142">
        <v>0</v>
      </c>
      <c r="AF146" s="142">
        <v>0</v>
      </c>
      <c r="AG146" s="142">
        <v>0</v>
      </c>
      <c r="AH146" s="142">
        <v>0</v>
      </c>
      <c r="AI146" s="142">
        <v>0</v>
      </c>
      <c r="AJ146" s="142">
        <v>0</v>
      </c>
      <c r="AK146" s="142">
        <v>0</v>
      </c>
      <c r="AL146" s="142">
        <v>0</v>
      </c>
      <c r="AM146" s="142">
        <v>0</v>
      </c>
      <c r="AN146" s="142">
        <v>0</v>
      </c>
      <c r="AO146" s="142">
        <v>0</v>
      </c>
      <c r="AP146" s="142">
        <v>0</v>
      </c>
      <c r="AQ146" s="142">
        <v>0</v>
      </c>
      <c r="AR146" s="142">
        <v>0</v>
      </c>
      <c r="AS146" s="142">
        <v>0</v>
      </c>
      <c r="AT146" s="142">
        <v>0</v>
      </c>
      <c r="AU146" s="142">
        <v>0</v>
      </c>
      <c r="AV146" s="142">
        <v>0</v>
      </c>
      <c r="AW146" s="142">
        <v>0</v>
      </c>
    </row>
    <row r="147" spans="18:49" x14ac:dyDescent="0.25">
      <c r="R147" s="141">
        <f t="shared" si="3"/>
        <v>284.57911651632901</v>
      </c>
      <c r="S147" s="142">
        <v>0</v>
      </c>
      <c r="T147" s="142">
        <v>0</v>
      </c>
      <c r="U147" s="142">
        <v>0</v>
      </c>
      <c r="V147" s="142">
        <v>0</v>
      </c>
      <c r="W147" s="142">
        <v>0</v>
      </c>
      <c r="X147" s="142">
        <v>0</v>
      </c>
      <c r="Y147" s="142">
        <v>0</v>
      </c>
      <c r="Z147" s="142">
        <v>0</v>
      </c>
      <c r="AA147" s="142">
        <v>0</v>
      </c>
      <c r="AB147" s="142">
        <v>0</v>
      </c>
      <c r="AC147" s="142">
        <v>0</v>
      </c>
      <c r="AD147" s="142">
        <v>0</v>
      </c>
      <c r="AE147" s="142">
        <v>0</v>
      </c>
      <c r="AF147" s="142">
        <v>0</v>
      </c>
      <c r="AG147" s="142">
        <v>0</v>
      </c>
      <c r="AH147" s="142">
        <v>0</v>
      </c>
      <c r="AI147" s="142">
        <v>0</v>
      </c>
      <c r="AJ147" s="142">
        <v>0</v>
      </c>
      <c r="AK147" s="142">
        <v>0</v>
      </c>
      <c r="AL147" s="142">
        <v>0</v>
      </c>
      <c r="AM147" s="142">
        <v>0</v>
      </c>
      <c r="AN147" s="142">
        <v>0</v>
      </c>
      <c r="AO147" s="142">
        <v>0</v>
      </c>
      <c r="AP147" s="142">
        <v>0</v>
      </c>
      <c r="AQ147" s="142">
        <v>0</v>
      </c>
      <c r="AR147" s="142">
        <v>0</v>
      </c>
      <c r="AS147" s="142">
        <v>0</v>
      </c>
      <c r="AT147" s="142">
        <v>0</v>
      </c>
      <c r="AU147" s="142">
        <v>0</v>
      </c>
      <c r="AV147" s="142">
        <v>0</v>
      </c>
      <c r="AW147" s="142">
        <v>0</v>
      </c>
    </row>
    <row r="148" spans="18:49" x14ac:dyDescent="0.25">
      <c r="R148" s="141">
        <f t="shared" si="3"/>
        <v>341.49493981959489</v>
      </c>
      <c r="S148" s="142">
        <v>0</v>
      </c>
      <c r="T148" s="142">
        <v>0</v>
      </c>
      <c r="U148" s="142">
        <v>0</v>
      </c>
      <c r="V148" s="142">
        <v>0</v>
      </c>
      <c r="W148" s="142">
        <v>0</v>
      </c>
      <c r="X148" s="142">
        <v>0</v>
      </c>
      <c r="Y148" s="142">
        <v>0</v>
      </c>
      <c r="Z148" s="142">
        <v>0</v>
      </c>
      <c r="AA148" s="142">
        <v>0</v>
      </c>
      <c r="AB148" s="142">
        <v>0</v>
      </c>
      <c r="AC148" s="142">
        <v>0</v>
      </c>
      <c r="AD148" s="142">
        <v>0</v>
      </c>
      <c r="AE148" s="142">
        <v>0</v>
      </c>
      <c r="AF148" s="142">
        <v>0</v>
      </c>
      <c r="AG148" s="142">
        <v>0</v>
      </c>
      <c r="AH148" s="142">
        <v>0</v>
      </c>
      <c r="AI148" s="142">
        <v>0</v>
      </c>
      <c r="AJ148" s="142">
        <v>0</v>
      </c>
      <c r="AK148" s="142">
        <v>0</v>
      </c>
      <c r="AL148" s="142">
        <v>0</v>
      </c>
      <c r="AM148" s="142">
        <v>0</v>
      </c>
      <c r="AN148" s="142">
        <v>0</v>
      </c>
      <c r="AO148" s="142">
        <v>0</v>
      </c>
      <c r="AP148" s="142">
        <v>0</v>
      </c>
      <c r="AQ148" s="142">
        <v>0</v>
      </c>
      <c r="AR148" s="142">
        <v>0</v>
      </c>
      <c r="AS148" s="142">
        <v>0</v>
      </c>
      <c r="AT148" s="142">
        <v>0</v>
      </c>
      <c r="AU148" s="142">
        <v>0</v>
      </c>
      <c r="AV148" s="142">
        <v>0</v>
      </c>
      <c r="AW148" s="142">
        <v>0</v>
      </c>
    </row>
    <row r="149" spans="18:49" x14ac:dyDescent="0.25">
      <c r="R149" s="141">
        <f t="shared" si="3"/>
        <v>398.41076312286066</v>
      </c>
      <c r="S149" s="142">
        <v>0</v>
      </c>
      <c r="T149" s="142">
        <v>0</v>
      </c>
      <c r="U149" s="142">
        <v>0</v>
      </c>
      <c r="V149" s="142">
        <v>0</v>
      </c>
      <c r="W149" s="142">
        <v>0</v>
      </c>
      <c r="X149" s="142">
        <v>0</v>
      </c>
      <c r="Y149" s="142">
        <v>0</v>
      </c>
      <c r="Z149" s="142">
        <v>0</v>
      </c>
      <c r="AA149" s="142">
        <v>0</v>
      </c>
      <c r="AB149" s="142">
        <v>0</v>
      </c>
      <c r="AC149" s="142">
        <v>0</v>
      </c>
      <c r="AD149" s="142">
        <v>0</v>
      </c>
      <c r="AE149" s="142">
        <v>0</v>
      </c>
      <c r="AF149" s="142">
        <v>0</v>
      </c>
      <c r="AG149" s="142">
        <v>0</v>
      </c>
      <c r="AH149" s="142">
        <v>0</v>
      </c>
      <c r="AI149" s="142">
        <v>0</v>
      </c>
      <c r="AJ149" s="142">
        <v>0</v>
      </c>
      <c r="AK149" s="142">
        <v>0</v>
      </c>
      <c r="AL149" s="142">
        <v>0</v>
      </c>
      <c r="AM149" s="142">
        <v>0</v>
      </c>
      <c r="AN149" s="142">
        <v>0</v>
      </c>
      <c r="AO149" s="142">
        <v>0</v>
      </c>
      <c r="AP149" s="142">
        <v>0</v>
      </c>
      <c r="AQ149" s="142">
        <v>0</v>
      </c>
      <c r="AR149" s="142">
        <v>0</v>
      </c>
      <c r="AS149" s="142">
        <v>0</v>
      </c>
      <c r="AT149" s="142">
        <v>0</v>
      </c>
      <c r="AU149" s="142">
        <v>0</v>
      </c>
      <c r="AV149" s="142">
        <v>0</v>
      </c>
      <c r="AW149" s="142">
        <v>0</v>
      </c>
    </row>
    <row r="150" spans="18:49" x14ac:dyDescent="0.25">
      <c r="R150" s="141">
        <f t="shared" si="3"/>
        <v>455.32658642612643</v>
      </c>
      <c r="S150" s="142">
        <v>0</v>
      </c>
      <c r="T150" s="142">
        <v>0</v>
      </c>
      <c r="U150" s="142">
        <v>0</v>
      </c>
      <c r="V150" s="142">
        <v>0</v>
      </c>
      <c r="W150" s="142">
        <v>0</v>
      </c>
      <c r="X150" s="142">
        <v>0</v>
      </c>
      <c r="Y150" s="142">
        <v>0</v>
      </c>
      <c r="Z150" s="142">
        <v>0</v>
      </c>
      <c r="AA150" s="142">
        <v>0</v>
      </c>
      <c r="AB150" s="142">
        <v>0</v>
      </c>
      <c r="AC150" s="142">
        <v>0</v>
      </c>
      <c r="AD150" s="142">
        <v>0</v>
      </c>
      <c r="AE150" s="142">
        <v>0</v>
      </c>
      <c r="AF150" s="142">
        <v>0</v>
      </c>
      <c r="AG150" s="142">
        <v>0</v>
      </c>
      <c r="AH150" s="142">
        <v>0</v>
      </c>
      <c r="AI150" s="142">
        <v>0</v>
      </c>
      <c r="AJ150" s="142">
        <v>0</v>
      </c>
      <c r="AK150" s="142">
        <v>0</v>
      </c>
      <c r="AL150" s="142">
        <v>0</v>
      </c>
      <c r="AM150" s="142">
        <v>0</v>
      </c>
      <c r="AN150" s="142">
        <v>0</v>
      </c>
      <c r="AO150" s="142">
        <v>0</v>
      </c>
      <c r="AP150" s="142">
        <v>0</v>
      </c>
      <c r="AQ150" s="142">
        <v>0</v>
      </c>
      <c r="AR150" s="142">
        <v>0</v>
      </c>
      <c r="AS150" s="142">
        <v>0</v>
      </c>
      <c r="AT150" s="142">
        <v>0</v>
      </c>
      <c r="AU150" s="142">
        <v>0</v>
      </c>
      <c r="AV150" s="142">
        <v>0</v>
      </c>
      <c r="AW150" s="142">
        <v>0</v>
      </c>
    </row>
    <row r="151" spans="18:49" x14ac:dyDescent="0.25">
      <c r="R151" s="141">
        <f t="shared" si="3"/>
        <v>512.24240972939231</v>
      </c>
      <c r="S151" s="142">
        <v>0</v>
      </c>
      <c r="T151" s="142">
        <v>0</v>
      </c>
      <c r="U151" s="142">
        <v>0</v>
      </c>
      <c r="V151" s="142">
        <v>0</v>
      </c>
      <c r="W151" s="142">
        <v>0</v>
      </c>
      <c r="X151" s="142">
        <v>0</v>
      </c>
      <c r="Y151" s="142">
        <v>0</v>
      </c>
      <c r="Z151" s="142">
        <v>0</v>
      </c>
      <c r="AA151" s="142">
        <v>0</v>
      </c>
      <c r="AB151" s="142">
        <v>0</v>
      </c>
      <c r="AC151" s="142">
        <v>0</v>
      </c>
      <c r="AD151" s="142">
        <v>0</v>
      </c>
      <c r="AE151" s="142">
        <v>0</v>
      </c>
      <c r="AF151" s="142">
        <v>0</v>
      </c>
      <c r="AG151" s="142">
        <v>0</v>
      </c>
      <c r="AH151" s="142">
        <v>0</v>
      </c>
      <c r="AI151" s="142">
        <v>0</v>
      </c>
      <c r="AJ151" s="142">
        <v>0</v>
      </c>
      <c r="AK151" s="142">
        <v>0</v>
      </c>
      <c r="AL151" s="142">
        <v>0</v>
      </c>
      <c r="AM151" s="142">
        <v>0</v>
      </c>
      <c r="AN151" s="142">
        <v>0</v>
      </c>
      <c r="AO151" s="142">
        <v>0</v>
      </c>
      <c r="AP151" s="142">
        <v>0</v>
      </c>
      <c r="AQ151" s="142">
        <v>0</v>
      </c>
      <c r="AR151" s="142">
        <v>0</v>
      </c>
      <c r="AS151" s="142">
        <v>0</v>
      </c>
      <c r="AT151" s="142">
        <v>0</v>
      </c>
      <c r="AU151" s="142">
        <v>0</v>
      </c>
      <c r="AV151" s="142">
        <v>0</v>
      </c>
      <c r="AW151" s="142">
        <v>0</v>
      </c>
    </row>
    <row r="152" spans="18:49" x14ac:dyDescent="0.25">
      <c r="R152" s="141">
        <f t="shared" si="3"/>
        <v>569.15823303265802</v>
      </c>
      <c r="S152" s="142">
        <v>0</v>
      </c>
      <c r="T152" s="142">
        <v>0</v>
      </c>
      <c r="U152" s="142">
        <v>0</v>
      </c>
      <c r="V152" s="142">
        <v>0</v>
      </c>
      <c r="W152" s="142">
        <v>0</v>
      </c>
      <c r="X152" s="142">
        <v>0</v>
      </c>
      <c r="Y152" s="142">
        <v>0</v>
      </c>
      <c r="Z152" s="142">
        <v>0</v>
      </c>
      <c r="AA152" s="142">
        <v>0</v>
      </c>
      <c r="AB152" s="142">
        <v>0</v>
      </c>
      <c r="AC152" s="142">
        <v>0</v>
      </c>
      <c r="AD152" s="142">
        <v>0</v>
      </c>
      <c r="AE152" s="142">
        <v>0</v>
      </c>
      <c r="AF152" s="142">
        <v>0</v>
      </c>
      <c r="AG152" s="142">
        <v>0</v>
      </c>
      <c r="AH152" s="142">
        <v>0</v>
      </c>
      <c r="AI152" s="142">
        <v>0</v>
      </c>
      <c r="AJ152" s="142">
        <v>0</v>
      </c>
      <c r="AK152" s="142">
        <v>0</v>
      </c>
      <c r="AL152" s="142">
        <v>0</v>
      </c>
      <c r="AM152" s="142">
        <v>0</v>
      </c>
      <c r="AN152" s="142">
        <v>0</v>
      </c>
      <c r="AO152" s="142">
        <v>0</v>
      </c>
      <c r="AP152" s="142">
        <v>0</v>
      </c>
      <c r="AQ152" s="142">
        <v>0</v>
      </c>
      <c r="AR152" s="142">
        <v>0</v>
      </c>
      <c r="AS152" s="142">
        <v>0</v>
      </c>
      <c r="AT152" s="142">
        <v>0</v>
      </c>
      <c r="AU152" s="142">
        <v>0</v>
      </c>
      <c r="AV152" s="142">
        <v>0</v>
      </c>
      <c r="AW152" s="142">
        <v>0</v>
      </c>
    </row>
    <row r="153" spans="18:49" x14ac:dyDescent="0.25">
      <c r="R153" s="141">
        <f t="shared" si="3"/>
        <v>626.07405633592384</v>
      </c>
      <c r="S153" s="142">
        <v>0</v>
      </c>
      <c r="T153" s="142">
        <v>0</v>
      </c>
      <c r="U153" s="142">
        <v>0</v>
      </c>
      <c r="V153" s="142">
        <v>0</v>
      </c>
      <c r="W153" s="142">
        <v>0</v>
      </c>
      <c r="X153" s="142">
        <v>0</v>
      </c>
      <c r="Y153" s="142">
        <v>0</v>
      </c>
      <c r="Z153" s="142">
        <v>0</v>
      </c>
      <c r="AA153" s="142">
        <v>0</v>
      </c>
      <c r="AB153" s="142">
        <v>0</v>
      </c>
      <c r="AC153" s="142">
        <v>0</v>
      </c>
      <c r="AD153" s="142">
        <v>0</v>
      </c>
      <c r="AE153" s="142">
        <v>0</v>
      </c>
      <c r="AF153" s="142">
        <v>0</v>
      </c>
      <c r="AG153" s="142">
        <v>0</v>
      </c>
      <c r="AH153" s="142">
        <v>0</v>
      </c>
      <c r="AI153" s="142">
        <v>0</v>
      </c>
      <c r="AJ153" s="142">
        <v>0</v>
      </c>
      <c r="AK153" s="142">
        <v>0</v>
      </c>
      <c r="AL153" s="142">
        <v>0</v>
      </c>
      <c r="AM153" s="142">
        <v>0</v>
      </c>
      <c r="AN153" s="142">
        <v>0</v>
      </c>
      <c r="AO153" s="142">
        <v>0</v>
      </c>
      <c r="AP153" s="142">
        <v>0</v>
      </c>
      <c r="AQ153" s="142">
        <v>0</v>
      </c>
      <c r="AR153" s="142">
        <v>0</v>
      </c>
      <c r="AS153" s="142">
        <v>0</v>
      </c>
      <c r="AT153" s="142">
        <v>0</v>
      </c>
      <c r="AU153" s="142">
        <v>0</v>
      </c>
      <c r="AV153" s="142">
        <v>0</v>
      </c>
      <c r="AW153" s="142">
        <v>0</v>
      </c>
    </row>
    <row r="154" spans="18:49" x14ac:dyDescent="0.25">
      <c r="R154" s="141">
        <f t="shared" si="3"/>
        <v>682.98987963918978</v>
      </c>
      <c r="S154" s="142">
        <v>0</v>
      </c>
      <c r="T154" s="142">
        <v>0</v>
      </c>
      <c r="U154" s="142">
        <v>0</v>
      </c>
      <c r="V154" s="142">
        <v>0</v>
      </c>
      <c r="W154" s="142">
        <v>0</v>
      </c>
      <c r="X154" s="142">
        <v>0</v>
      </c>
      <c r="Y154" s="142">
        <v>0</v>
      </c>
      <c r="Z154" s="142">
        <v>0</v>
      </c>
      <c r="AA154" s="142">
        <v>0</v>
      </c>
      <c r="AB154" s="142">
        <v>0</v>
      </c>
      <c r="AC154" s="142">
        <v>0</v>
      </c>
      <c r="AD154" s="142">
        <v>0</v>
      </c>
      <c r="AE154" s="142">
        <v>0</v>
      </c>
      <c r="AF154" s="142">
        <v>0</v>
      </c>
      <c r="AG154" s="142">
        <v>0</v>
      </c>
      <c r="AH154" s="142">
        <v>0</v>
      </c>
      <c r="AI154" s="142">
        <v>0</v>
      </c>
      <c r="AJ154" s="142">
        <v>0</v>
      </c>
      <c r="AK154" s="142">
        <v>0</v>
      </c>
      <c r="AL154" s="142">
        <v>0</v>
      </c>
      <c r="AM154" s="142">
        <v>0</v>
      </c>
      <c r="AN154" s="142">
        <v>0</v>
      </c>
      <c r="AO154" s="142">
        <v>0</v>
      </c>
      <c r="AP154" s="142">
        <v>0</v>
      </c>
      <c r="AQ154" s="142">
        <v>0</v>
      </c>
      <c r="AR154" s="142">
        <v>0</v>
      </c>
      <c r="AS154" s="142">
        <v>0</v>
      </c>
      <c r="AT154" s="142">
        <v>0</v>
      </c>
      <c r="AU154" s="142">
        <v>0</v>
      </c>
      <c r="AV154" s="142">
        <v>0</v>
      </c>
      <c r="AW154" s="142">
        <v>0</v>
      </c>
    </row>
    <row r="155" spans="18:49" x14ac:dyDescent="0.25">
      <c r="R155" s="141">
        <f t="shared" si="3"/>
        <v>739.90570294245549</v>
      </c>
      <c r="S155" s="142">
        <v>0</v>
      </c>
      <c r="T155" s="142">
        <v>0</v>
      </c>
      <c r="U155" s="142">
        <v>0</v>
      </c>
      <c r="V155" s="142">
        <v>0</v>
      </c>
      <c r="W155" s="142">
        <v>0</v>
      </c>
      <c r="X155" s="142">
        <v>0</v>
      </c>
      <c r="Y155" s="142">
        <v>0</v>
      </c>
      <c r="Z155" s="142">
        <v>0</v>
      </c>
      <c r="AA155" s="142">
        <v>0</v>
      </c>
      <c r="AB155" s="142">
        <v>0</v>
      </c>
      <c r="AC155" s="142">
        <v>0</v>
      </c>
      <c r="AD155" s="142">
        <v>0</v>
      </c>
      <c r="AE155" s="142">
        <v>0</v>
      </c>
      <c r="AF155" s="142">
        <v>0</v>
      </c>
      <c r="AG155" s="142">
        <v>0</v>
      </c>
      <c r="AH155" s="142">
        <v>0</v>
      </c>
      <c r="AI155" s="142">
        <v>0</v>
      </c>
      <c r="AJ155" s="142">
        <v>0</v>
      </c>
      <c r="AK155" s="142">
        <v>0</v>
      </c>
      <c r="AL155" s="142">
        <v>0</v>
      </c>
      <c r="AM155" s="142">
        <v>0</v>
      </c>
      <c r="AN155" s="142">
        <v>0</v>
      </c>
      <c r="AO155" s="142">
        <v>0</v>
      </c>
      <c r="AP155" s="142">
        <v>0</v>
      </c>
      <c r="AQ155" s="142">
        <v>0</v>
      </c>
      <c r="AR155" s="142">
        <v>0</v>
      </c>
      <c r="AS155" s="142">
        <v>0</v>
      </c>
      <c r="AT155" s="142">
        <v>0</v>
      </c>
      <c r="AU155" s="142">
        <v>0</v>
      </c>
      <c r="AV155" s="142">
        <v>0</v>
      </c>
      <c r="AW155" s="142">
        <v>0</v>
      </c>
    </row>
    <row r="156" spans="18:49" x14ac:dyDescent="0.25">
      <c r="R156" s="141">
        <f t="shared" si="3"/>
        <v>796.82152624572132</v>
      </c>
      <c r="S156" s="142">
        <v>0</v>
      </c>
      <c r="T156" s="142">
        <v>0</v>
      </c>
      <c r="U156" s="142">
        <v>0</v>
      </c>
      <c r="V156" s="142">
        <v>0</v>
      </c>
      <c r="W156" s="142">
        <v>0</v>
      </c>
      <c r="X156" s="142">
        <v>0</v>
      </c>
      <c r="Y156" s="142">
        <v>0</v>
      </c>
      <c r="Z156" s="142">
        <v>0</v>
      </c>
      <c r="AA156" s="142">
        <v>0</v>
      </c>
      <c r="AB156" s="142">
        <v>0</v>
      </c>
      <c r="AC156" s="142">
        <v>0</v>
      </c>
      <c r="AD156" s="142">
        <v>0</v>
      </c>
      <c r="AE156" s="142">
        <v>0</v>
      </c>
      <c r="AF156" s="142">
        <v>0</v>
      </c>
      <c r="AG156" s="142">
        <v>0</v>
      </c>
      <c r="AH156" s="142">
        <v>0</v>
      </c>
      <c r="AI156" s="142">
        <v>0</v>
      </c>
      <c r="AJ156" s="142">
        <v>0</v>
      </c>
      <c r="AK156" s="142">
        <v>0</v>
      </c>
      <c r="AL156" s="142">
        <v>0</v>
      </c>
      <c r="AM156" s="142">
        <v>0</v>
      </c>
      <c r="AN156" s="142">
        <v>0</v>
      </c>
      <c r="AO156" s="142">
        <v>0</v>
      </c>
      <c r="AP156" s="142">
        <v>0</v>
      </c>
      <c r="AQ156" s="142">
        <v>0</v>
      </c>
      <c r="AR156" s="142">
        <v>0</v>
      </c>
      <c r="AS156" s="142">
        <v>0</v>
      </c>
      <c r="AT156" s="142">
        <v>0</v>
      </c>
      <c r="AU156" s="142">
        <v>0</v>
      </c>
      <c r="AV156" s="142">
        <v>0</v>
      </c>
      <c r="AW156" s="142">
        <v>0</v>
      </c>
    </row>
    <row r="157" spans="18:49" x14ac:dyDescent="0.25">
      <c r="R157" s="141">
        <f t="shared" si="3"/>
        <v>853.73734954898703</v>
      </c>
      <c r="S157" s="142">
        <v>0</v>
      </c>
      <c r="T157" s="142">
        <v>0</v>
      </c>
      <c r="U157" s="142">
        <v>0</v>
      </c>
      <c r="V157" s="142">
        <v>0</v>
      </c>
      <c r="W157" s="142">
        <v>0</v>
      </c>
      <c r="X157" s="142">
        <v>0</v>
      </c>
      <c r="Y157" s="142">
        <v>0</v>
      </c>
      <c r="Z157" s="142">
        <v>0</v>
      </c>
      <c r="AA157" s="142">
        <v>0</v>
      </c>
      <c r="AB157" s="142">
        <v>0</v>
      </c>
      <c r="AC157" s="142">
        <v>0</v>
      </c>
      <c r="AD157" s="142">
        <v>0</v>
      </c>
      <c r="AE157" s="142">
        <v>0</v>
      </c>
      <c r="AF157" s="142">
        <v>0</v>
      </c>
      <c r="AG157" s="142">
        <v>0</v>
      </c>
      <c r="AH157" s="142">
        <v>0</v>
      </c>
      <c r="AI157" s="142">
        <v>0</v>
      </c>
      <c r="AJ157" s="142">
        <v>0</v>
      </c>
      <c r="AK157" s="142">
        <v>0</v>
      </c>
      <c r="AL157" s="142">
        <v>0</v>
      </c>
      <c r="AM157" s="142">
        <v>0</v>
      </c>
      <c r="AN157" s="142">
        <v>0</v>
      </c>
      <c r="AO157" s="142">
        <v>0</v>
      </c>
      <c r="AP157" s="142">
        <v>0</v>
      </c>
      <c r="AQ157" s="142">
        <v>0</v>
      </c>
      <c r="AR157" s="142">
        <v>0</v>
      </c>
      <c r="AS157" s="142">
        <v>0</v>
      </c>
      <c r="AT157" s="142">
        <v>0</v>
      </c>
      <c r="AU157" s="142">
        <v>0</v>
      </c>
      <c r="AV157" s="142">
        <v>0</v>
      </c>
      <c r="AW157" s="142">
        <v>0</v>
      </c>
    </row>
    <row r="158" spans="18:49" x14ac:dyDescent="0.25">
      <c r="R158" s="141">
        <f t="shared" si="3"/>
        <v>910.65317285225285</v>
      </c>
      <c r="S158" s="142">
        <v>0</v>
      </c>
      <c r="T158" s="142">
        <v>0</v>
      </c>
      <c r="U158" s="142">
        <v>0</v>
      </c>
      <c r="V158" s="142">
        <v>0</v>
      </c>
      <c r="W158" s="142">
        <v>0</v>
      </c>
      <c r="X158" s="142">
        <v>0</v>
      </c>
      <c r="Y158" s="142">
        <v>0</v>
      </c>
      <c r="Z158" s="142">
        <v>0</v>
      </c>
      <c r="AA158" s="142">
        <v>0</v>
      </c>
      <c r="AB158" s="142">
        <v>0</v>
      </c>
      <c r="AC158" s="142">
        <v>0</v>
      </c>
      <c r="AD158" s="142">
        <v>0</v>
      </c>
      <c r="AE158" s="142">
        <v>0</v>
      </c>
      <c r="AF158" s="142">
        <v>0</v>
      </c>
      <c r="AG158" s="142">
        <v>0</v>
      </c>
      <c r="AH158" s="142">
        <v>0</v>
      </c>
      <c r="AI158" s="142">
        <v>0</v>
      </c>
      <c r="AJ158" s="142">
        <v>0</v>
      </c>
      <c r="AK158" s="142">
        <v>0</v>
      </c>
      <c r="AL158" s="142">
        <v>0</v>
      </c>
      <c r="AM158" s="142">
        <v>0</v>
      </c>
      <c r="AN158" s="142">
        <v>0</v>
      </c>
      <c r="AO158" s="142">
        <v>0</v>
      </c>
      <c r="AP158" s="142">
        <v>0</v>
      </c>
      <c r="AQ158" s="142">
        <v>0</v>
      </c>
      <c r="AR158" s="142">
        <v>0</v>
      </c>
      <c r="AS158" s="142">
        <v>0</v>
      </c>
      <c r="AT158" s="142">
        <v>0</v>
      </c>
      <c r="AU158" s="142">
        <v>0</v>
      </c>
      <c r="AV158" s="142">
        <v>0</v>
      </c>
      <c r="AW158" s="142">
        <v>0</v>
      </c>
    </row>
    <row r="159" spans="18:49" x14ac:dyDescent="0.25">
      <c r="R159" s="141">
        <f t="shared" si="3"/>
        <v>967.56899615551868</v>
      </c>
      <c r="S159" s="142">
        <v>0</v>
      </c>
      <c r="T159" s="142">
        <v>0</v>
      </c>
      <c r="U159" s="142">
        <v>0</v>
      </c>
      <c r="V159" s="142">
        <v>0</v>
      </c>
      <c r="W159" s="142">
        <v>0</v>
      </c>
      <c r="X159" s="142">
        <v>0</v>
      </c>
      <c r="Y159" s="142">
        <v>0</v>
      </c>
      <c r="Z159" s="142">
        <v>0</v>
      </c>
      <c r="AA159" s="142">
        <v>0</v>
      </c>
      <c r="AB159" s="142">
        <v>0</v>
      </c>
      <c r="AC159" s="142">
        <v>0</v>
      </c>
      <c r="AD159" s="142">
        <v>0</v>
      </c>
      <c r="AE159" s="142">
        <v>0</v>
      </c>
      <c r="AF159" s="142">
        <v>0</v>
      </c>
      <c r="AG159" s="142">
        <v>0</v>
      </c>
      <c r="AH159" s="142">
        <v>0</v>
      </c>
      <c r="AI159" s="142">
        <v>0</v>
      </c>
      <c r="AJ159" s="142">
        <v>0</v>
      </c>
      <c r="AK159" s="142">
        <v>0</v>
      </c>
      <c r="AL159" s="142">
        <v>0</v>
      </c>
      <c r="AM159" s="142">
        <v>0</v>
      </c>
      <c r="AN159" s="142">
        <v>0</v>
      </c>
      <c r="AO159" s="142">
        <v>0</v>
      </c>
      <c r="AP159" s="142">
        <v>0</v>
      </c>
      <c r="AQ159" s="142">
        <v>0</v>
      </c>
      <c r="AR159" s="142">
        <v>0</v>
      </c>
      <c r="AS159" s="142">
        <v>0</v>
      </c>
      <c r="AT159" s="142">
        <v>0</v>
      </c>
      <c r="AU159" s="142">
        <v>0</v>
      </c>
      <c r="AV159" s="142">
        <v>0</v>
      </c>
      <c r="AW159" s="142">
        <v>0</v>
      </c>
    </row>
    <row r="160" spans="18:49" x14ac:dyDescent="0.25">
      <c r="R160" s="141">
        <f t="shared" si="3"/>
        <v>1024.4848194587846</v>
      </c>
      <c r="S160" s="142">
        <v>0</v>
      </c>
      <c r="T160" s="142">
        <v>0</v>
      </c>
      <c r="U160" s="142">
        <v>0</v>
      </c>
      <c r="V160" s="142">
        <v>0</v>
      </c>
      <c r="W160" s="142">
        <v>0</v>
      </c>
      <c r="X160" s="142">
        <v>0</v>
      </c>
      <c r="Y160" s="142">
        <v>0</v>
      </c>
      <c r="Z160" s="142">
        <v>0</v>
      </c>
      <c r="AA160" s="142">
        <v>0</v>
      </c>
      <c r="AB160" s="142">
        <v>0</v>
      </c>
      <c r="AC160" s="142">
        <v>0</v>
      </c>
      <c r="AD160" s="142">
        <v>0</v>
      </c>
      <c r="AE160" s="142">
        <v>0</v>
      </c>
      <c r="AF160" s="142">
        <v>0</v>
      </c>
      <c r="AG160" s="142">
        <v>0</v>
      </c>
      <c r="AH160" s="142">
        <v>0</v>
      </c>
      <c r="AI160" s="142">
        <v>0</v>
      </c>
      <c r="AJ160" s="142">
        <v>0</v>
      </c>
      <c r="AK160" s="142">
        <v>0</v>
      </c>
      <c r="AL160" s="142">
        <v>0</v>
      </c>
      <c r="AM160" s="142">
        <v>0</v>
      </c>
      <c r="AN160" s="142">
        <v>0</v>
      </c>
      <c r="AO160" s="142">
        <v>0</v>
      </c>
      <c r="AP160" s="142">
        <v>0</v>
      </c>
      <c r="AQ160" s="142">
        <v>0</v>
      </c>
      <c r="AR160" s="142">
        <v>0</v>
      </c>
      <c r="AS160" s="142">
        <v>0</v>
      </c>
      <c r="AT160" s="142">
        <v>0</v>
      </c>
      <c r="AU160" s="142">
        <v>0</v>
      </c>
      <c r="AV160" s="142">
        <v>0</v>
      </c>
      <c r="AW160" s="142">
        <v>0</v>
      </c>
    </row>
    <row r="161" spans="18:49" x14ac:dyDescent="0.25">
      <c r="R161" s="141">
        <f t="shared" si="3"/>
        <v>1081.4006427620504</v>
      </c>
      <c r="S161" s="142">
        <v>0</v>
      </c>
      <c r="T161" s="142">
        <v>0</v>
      </c>
      <c r="U161" s="142">
        <v>0</v>
      </c>
      <c r="V161" s="142">
        <v>0</v>
      </c>
      <c r="W161" s="142">
        <v>0</v>
      </c>
      <c r="X161" s="142">
        <v>0</v>
      </c>
      <c r="Y161" s="142">
        <v>0</v>
      </c>
      <c r="Z161" s="142">
        <v>0</v>
      </c>
      <c r="AA161" s="142">
        <v>0</v>
      </c>
      <c r="AB161" s="142">
        <v>0</v>
      </c>
      <c r="AC161" s="142">
        <v>0</v>
      </c>
      <c r="AD161" s="142">
        <v>0</v>
      </c>
      <c r="AE161" s="142">
        <v>0</v>
      </c>
      <c r="AF161" s="142">
        <v>0</v>
      </c>
      <c r="AG161" s="142">
        <v>0</v>
      </c>
      <c r="AH161" s="142">
        <v>0</v>
      </c>
      <c r="AI161" s="142">
        <v>0</v>
      </c>
      <c r="AJ161" s="142">
        <v>0</v>
      </c>
      <c r="AK161" s="142">
        <v>0</v>
      </c>
      <c r="AL161" s="142">
        <v>0</v>
      </c>
      <c r="AM161" s="142">
        <v>0</v>
      </c>
      <c r="AN161" s="142">
        <v>0</v>
      </c>
      <c r="AO161" s="142">
        <v>0</v>
      </c>
      <c r="AP161" s="142">
        <v>0</v>
      </c>
      <c r="AQ161" s="142">
        <v>0</v>
      </c>
      <c r="AR161" s="142">
        <v>0</v>
      </c>
      <c r="AS161" s="142">
        <v>0</v>
      </c>
      <c r="AT161" s="142">
        <v>0</v>
      </c>
      <c r="AU161" s="142">
        <v>0</v>
      </c>
      <c r="AV161" s="142">
        <v>0</v>
      </c>
      <c r="AW161" s="142">
        <v>0</v>
      </c>
    </row>
    <row r="162" spans="18:49" x14ac:dyDescent="0.25">
      <c r="R162" s="141">
        <f t="shared" si="3"/>
        <v>1138.316466065316</v>
      </c>
      <c r="S162" s="142">
        <v>0</v>
      </c>
      <c r="T162" s="142">
        <v>0</v>
      </c>
      <c r="U162" s="142">
        <v>0</v>
      </c>
      <c r="V162" s="142">
        <v>0</v>
      </c>
      <c r="W162" s="142">
        <v>0</v>
      </c>
      <c r="X162" s="142">
        <v>0</v>
      </c>
      <c r="Y162" s="142">
        <v>0</v>
      </c>
      <c r="Z162" s="142">
        <v>0</v>
      </c>
      <c r="AA162" s="142">
        <v>0</v>
      </c>
      <c r="AB162" s="142">
        <v>0</v>
      </c>
      <c r="AC162" s="142">
        <v>0</v>
      </c>
      <c r="AD162" s="142">
        <v>0</v>
      </c>
      <c r="AE162" s="142">
        <v>0</v>
      </c>
      <c r="AF162" s="142">
        <v>0</v>
      </c>
      <c r="AG162" s="142">
        <v>0</v>
      </c>
      <c r="AH162" s="142">
        <v>0</v>
      </c>
      <c r="AI162" s="142">
        <v>0</v>
      </c>
      <c r="AJ162" s="142">
        <v>0</v>
      </c>
      <c r="AK162" s="142">
        <v>0</v>
      </c>
      <c r="AL162" s="142">
        <v>0</v>
      </c>
      <c r="AM162" s="142">
        <v>0</v>
      </c>
      <c r="AN162" s="142">
        <v>0</v>
      </c>
      <c r="AO162" s="142">
        <v>0</v>
      </c>
      <c r="AP162" s="142">
        <v>0</v>
      </c>
      <c r="AQ162" s="142">
        <v>0</v>
      </c>
      <c r="AR162" s="142">
        <v>0</v>
      </c>
      <c r="AS162" s="142">
        <v>0</v>
      </c>
      <c r="AT162" s="142">
        <v>0</v>
      </c>
      <c r="AU162" s="142">
        <v>0</v>
      </c>
      <c r="AV162" s="142">
        <v>0</v>
      </c>
      <c r="AW162" s="142">
        <v>0</v>
      </c>
    </row>
    <row r="163" spans="18:49" x14ac:dyDescent="0.25">
      <c r="R163" s="141">
        <f t="shared" si="3"/>
        <v>1195.2322893685819</v>
      </c>
      <c r="S163" s="142">
        <v>0</v>
      </c>
      <c r="T163" s="142">
        <v>0</v>
      </c>
      <c r="U163" s="142">
        <v>0</v>
      </c>
      <c r="V163" s="142">
        <v>0</v>
      </c>
      <c r="W163" s="142">
        <v>0</v>
      </c>
      <c r="X163" s="142">
        <v>0</v>
      </c>
      <c r="Y163" s="142">
        <v>0</v>
      </c>
      <c r="Z163" s="142">
        <v>0</v>
      </c>
      <c r="AA163" s="142">
        <v>0</v>
      </c>
      <c r="AB163" s="142">
        <v>0</v>
      </c>
      <c r="AC163" s="142">
        <v>0</v>
      </c>
      <c r="AD163" s="142">
        <v>0</v>
      </c>
      <c r="AE163" s="142">
        <v>0</v>
      </c>
      <c r="AF163" s="142">
        <v>0</v>
      </c>
      <c r="AG163" s="142">
        <v>0</v>
      </c>
      <c r="AH163" s="142">
        <v>0</v>
      </c>
      <c r="AI163" s="142">
        <v>0</v>
      </c>
      <c r="AJ163" s="142">
        <v>0</v>
      </c>
      <c r="AK163" s="142">
        <v>0</v>
      </c>
      <c r="AL163" s="142">
        <v>0</v>
      </c>
      <c r="AM163" s="142">
        <v>0</v>
      </c>
      <c r="AN163" s="142">
        <v>0</v>
      </c>
      <c r="AO163" s="142">
        <v>0</v>
      </c>
      <c r="AP163" s="142">
        <v>0</v>
      </c>
      <c r="AQ163" s="142">
        <v>0</v>
      </c>
      <c r="AR163" s="142">
        <v>0</v>
      </c>
      <c r="AS163" s="142">
        <v>0</v>
      </c>
      <c r="AT163" s="142">
        <v>0</v>
      </c>
      <c r="AU163" s="142">
        <v>0</v>
      </c>
      <c r="AV163" s="142">
        <v>0</v>
      </c>
      <c r="AW163" s="142">
        <v>0</v>
      </c>
    </row>
    <row r="164" spans="18:49" x14ac:dyDescent="0.25">
      <c r="R164" s="141">
        <f t="shared" si="3"/>
        <v>1252.1481126718477</v>
      </c>
      <c r="S164" s="142">
        <v>0</v>
      </c>
      <c r="T164" s="142">
        <v>0</v>
      </c>
      <c r="U164" s="142">
        <v>0</v>
      </c>
      <c r="V164" s="142">
        <v>0</v>
      </c>
      <c r="W164" s="142">
        <v>0</v>
      </c>
      <c r="X164" s="142">
        <v>0</v>
      </c>
      <c r="Y164" s="142">
        <v>0</v>
      </c>
      <c r="Z164" s="142">
        <v>0</v>
      </c>
      <c r="AA164" s="142">
        <v>0</v>
      </c>
      <c r="AB164" s="142">
        <v>0</v>
      </c>
      <c r="AC164" s="142">
        <v>0</v>
      </c>
      <c r="AD164" s="142">
        <v>0</v>
      </c>
      <c r="AE164" s="142">
        <v>0</v>
      </c>
      <c r="AF164" s="142">
        <v>0</v>
      </c>
      <c r="AG164" s="142">
        <v>0</v>
      </c>
      <c r="AH164" s="142">
        <v>0</v>
      </c>
      <c r="AI164" s="142">
        <v>0</v>
      </c>
      <c r="AJ164" s="142">
        <v>0</v>
      </c>
      <c r="AK164" s="142">
        <v>0</v>
      </c>
      <c r="AL164" s="142">
        <v>0</v>
      </c>
      <c r="AM164" s="142">
        <v>0</v>
      </c>
      <c r="AN164" s="142">
        <v>0</v>
      </c>
      <c r="AO164" s="142">
        <v>0</v>
      </c>
      <c r="AP164" s="142">
        <v>0</v>
      </c>
      <c r="AQ164" s="142">
        <v>0</v>
      </c>
      <c r="AR164" s="142">
        <v>0</v>
      </c>
      <c r="AS164" s="142">
        <v>0</v>
      </c>
      <c r="AT164" s="142">
        <v>0</v>
      </c>
      <c r="AU164" s="142">
        <v>0</v>
      </c>
      <c r="AV164" s="142">
        <v>0</v>
      </c>
      <c r="AW164" s="142">
        <v>0</v>
      </c>
    </row>
    <row r="165" spans="18:49" x14ac:dyDescent="0.25">
      <c r="R165" s="141">
        <f t="shared" si="3"/>
        <v>1309.0639359751137</v>
      </c>
      <c r="S165" s="142">
        <v>0</v>
      </c>
      <c r="T165" s="142">
        <v>0</v>
      </c>
      <c r="U165" s="142">
        <v>0</v>
      </c>
      <c r="V165" s="142">
        <v>0</v>
      </c>
      <c r="W165" s="142">
        <v>0</v>
      </c>
      <c r="X165" s="142">
        <v>0</v>
      </c>
      <c r="Y165" s="142">
        <v>0</v>
      </c>
      <c r="Z165" s="142">
        <v>0</v>
      </c>
      <c r="AA165" s="142">
        <v>0</v>
      </c>
      <c r="AB165" s="142">
        <v>0</v>
      </c>
      <c r="AC165" s="142">
        <v>0</v>
      </c>
      <c r="AD165" s="142">
        <v>0</v>
      </c>
      <c r="AE165" s="142">
        <v>0</v>
      </c>
      <c r="AF165" s="142">
        <v>0</v>
      </c>
      <c r="AG165" s="142">
        <v>0</v>
      </c>
      <c r="AH165" s="142">
        <v>0</v>
      </c>
      <c r="AI165" s="142">
        <v>0</v>
      </c>
      <c r="AJ165" s="142">
        <v>0</v>
      </c>
      <c r="AK165" s="142">
        <v>0</v>
      </c>
      <c r="AL165" s="142">
        <v>0</v>
      </c>
      <c r="AM165" s="142">
        <v>0</v>
      </c>
      <c r="AN165" s="142">
        <v>0</v>
      </c>
      <c r="AO165" s="142">
        <v>0</v>
      </c>
      <c r="AP165" s="142">
        <v>0</v>
      </c>
      <c r="AQ165" s="142">
        <v>0</v>
      </c>
      <c r="AR165" s="142">
        <v>0</v>
      </c>
      <c r="AS165" s="142">
        <v>0</v>
      </c>
      <c r="AT165" s="142">
        <v>0</v>
      </c>
      <c r="AU165" s="142">
        <v>0</v>
      </c>
      <c r="AV165" s="142">
        <v>0</v>
      </c>
      <c r="AW165" s="142">
        <v>0</v>
      </c>
    </row>
    <row r="166" spans="18:49" x14ac:dyDescent="0.25">
      <c r="R166" s="141">
        <f t="shared" si="3"/>
        <v>1365.9797592783796</v>
      </c>
      <c r="S166" s="142">
        <v>0</v>
      </c>
      <c r="T166" s="142">
        <v>0</v>
      </c>
      <c r="U166" s="142">
        <v>0</v>
      </c>
      <c r="V166" s="142">
        <v>0</v>
      </c>
      <c r="W166" s="142">
        <v>0</v>
      </c>
      <c r="X166" s="142">
        <v>0</v>
      </c>
      <c r="Y166" s="142">
        <v>0</v>
      </c>
      <c r="Z166" s="142">
        <v>0</v>
      </c>
      <c r="AA166" s="142">
        <v>0</v>
      </c>
      <c r="AB166" s="142">
        <v>0</v>
      </c>
      <c r="AC166" s="142">
        <v>0</v>
      </c>
      <c r="AD166" s="142">
        <v>0</v>
      </c>
      <c r="AE166" s="142">
        <v>0</v>
      </c>
      <c r="AF166" s="142">
        <v>0</v>
      </c>
      <c r="AG166" s="142">
        <v>0</v>
      </c>
      <c r="AH166" s="142">
        <v>0</v>
      </c>
      <c r="AI166" s="142">
        <v>0</v>
      </c>
      <c r="AJ166" s="142">
        <v>0</v>
      </c>
      <c r="AK166" s="142">
        <v>0</v>
      </c>
      <c r="AL166" s="142">
        <v>0</v>
      </c>
      <c r="AM166" s="142">
        <v>0</v>
      </c>
      <c r="AN166" s="142">
        <v>0</v>
      </c>
      <c r="AO166" s="142">
        <v>0</v>
      </c>
      <c r="AP166" s="142">
        <v>0</v>
      </c>
      <c r="AQ166" s="142">
        <v>0</v>
      </c>
      <c r="AR166" s="142">
        <v>0</v>
      </c>
      <c r="AS166" s="142">
        <v>0</v>
      </c>
      <c r="AT166" s="142">
        <v>0</v>
      </c>
      <c r="AU166" s="142">
        <v>0</v>
      </c>
      <c r="AV166" s="142">
        <v>0</v>
      </c>
      <c r="AW166" s="142">
        <v>0</v>
      </c>
    </row>
    <row r="167" spans="18:49" x14ac:dyDescent="0.25">
      <c r="R167" s="141">
        <f t="shared" si="3"/>
        <v>1422.8955825816452</v>
      </c>
      <c r="S167" s="142">
        <v>0</v>
      </c>
      <c r="T167" s="142">
        <v>0</v>
      </c>
      <c r="U167" s="142">
        <v>0</v>
      </c>
      <c r="V167" s="142">
        <v>0</v>
      </c>
      <c r="W167" s="142">
        <v>0</v>
      </c>
      <c r="X167" s="142">
        <v>0</v>
      </c>
      <c r="Y167" s="142">
        <v>0</v>
      </c>
      <c r="Z167" s="142">
        <v>0</v>
      </c>
      <c r="AA167" s="142">
        <v>0</v>
      </c>
      <c r="AB167" s="142">
        <v>0</v>
      </c>
      <c r="AC167" s="142">
        <v>0</v>
      </c>
      <c r="AD167" s="142">
        <v>0</v>
      </c>
      <c r="AE167" s="142">
        <v>0</v>
      </c>
      <c r="AF167" s="142">
        <v>0</v>
      </c>
      <c r="AG167" s="142">
        <v>0</v>
      </c>
      <c r="AH167" s="142">
        <v>0</v>
      </c>
      <c r="AI167" s="142">
        <v>0</v>
      </c>
      <c r="AJ167" s="142">
        <v>0</v>
      </c>
      <c r="AK167" s="142">
        <v>0</v>
      </c>
      <c r="AL167" s="142">
        <v>0</v>
      </c>
      <c r="AM167" s="142">
        <v>0</v>
      </c>
      <c r="AN167" s="142">
        <v>0</v>
      </c>
      <c r="AO167" s="142">
        <v>0</v>
      </c>
      <c r="AP167" s="142">
        <v>0</v>
      </c>
      <c r="AQ167" s="142">
        <v>0</v>
      </c>
      <c r="AR167" s="142">
        <v>0</v>
      </c>
      <c r="AS167" s="142">
        <v>0</v>
      </c>
      <c r="AT167" s="142">
        <v>0</v>
      </c>
      <c r="AU167" s="142">
        <v>0</v>
      </c>
      <c r="AV167" s="142">
        <v>0</v>
      </c>
      <c r="AW167" s="142">
        <v>0</v>
      </c>
    </row>
    <row r="168" spans="18:49" x14ac:dyDescent="0.25">
      <c r="R168" s="141">
        <f t="shared" si="3"/>
        <v>1479.811405884911</v>
      </c>
      <c r="S168" s="142">
        <v>0</v>
      </c>
      <c r="T168" s="142">
        <v>0</v>
      </c>
      <c r="U168" s="142">
        <v>0</v>
      </c>
      <c r="V168" s="142">
        <v>0</v>
      </c>
      <c r="W168" s="142">
        <v>0</v>
      </c>
      <c r="X168" s="142">
        <v>0</v>
      </c>
      <c r="Y168" s="142">
        <v>0</v>
      </c>
      <c r="Z168" s="142">
        <v>0</v>
      </c>
      <c r="AA168" s="142">
        <v>0</v>
      </c>
      <c r="AB168" s="142">
        <v>0</v>
      </c>
      <c r="AC168" s="142">
        <v>0</v>
      </c>
      <c r="AD168" s="142">
        <v>0</v>
      </c>
      <c r="AE168" s="142">
        <v>0</v>
      </c>
      <c r="AF168" s="142">
        <v>0</v>
      </c>
      <c r="AG168" s="142">
        <v>0</v>
      </c>
      <c r="AH168" s="142">
        <v>0</v>
      </c>
      <c r="AI168" s="142">
        <v>0</v>
      </c>
      <c r="AJ168" s="142">
        <v>0</v>
      </c>
      <c r="AK168" s="142">
        <v>0</v>
      </c>
      <c r="AL168" s="142">
        <v>0</v>
      </c>
      <c r="AM168" s="142">
        <v>0</v>
      </c>
      <c r="AN168" s="142">
        <v>0</v>
      </c>
      <c r="AO168" s="142">
        <v>0</v>
      </c>
      <c r="AP168" s="142">
        <v>0</v>
      </c>
      <c r="AQ168" s="142">
        <v>0</v>
      </c>
      <c r="AR168" s="142">
        <v>0</v>
      </c>
      <c r="AS168" s="142">
        <v>0</v>
      </c>
      <c r="AT168" s="142">
        <v>0</v>
      </c>
      <c r="AU168" s="142">
        <v>0</v>
      </c>
      <c r="AV168" s="142">
        <v>0</v>
      </c>
      <c r="AW168" s="142">
        <v>0</v>
      </c>
    </row>
    <row r="169" spans="18:49" x14ac:dyDescent="0.25">
      <c r="R169" s="141">
        <f t="shared" si="3"/>
        <v>1536.7272291881768</v>
      </c>
      <c r="S169" s="142">
        <v>0</v>
      </c>
      <c r="T169" s="142">
        <v>0</v>
      </c>
      <c r="U169" s="142">
        <v>0</v>
      </c>
      <c r="V169" s="142">
        <v>0</v>
      </c>
      <c r="W169" s="142">
        <v>0</v>
      </c>
      <c r="X169" s="142">
        <v>0</v>
      </c>
      <c r="Y169" s="142">
        <v>0</v>
      </c>
      <c r="Z169" s="142">
        <v>0</v>
      </c>
      <c r="AA169" s="142">
        <v>0</v>
      </c>
      <c r="AB169" s="142">
        <v>0</v>
      </c>
      <c r="AC169" s="142">
        <v>0</v>
      </c>
      <c r="AD169" s="142">
        <v>0</v>
      </c>
      <c r="AE169" s="142">
        <v>0</v>
      </c>
      <c r="AF169" s="142">
        <v>0</v>
      </c>
      <c r="AG169" s="142">
        <v>0</v>
      </c>
      <c r="AH169" s="142">
        <v>0</v>
      </c>
      <c r="AI169" s="142">
        <v>0</v>
      </c>
      <c r="AJ169" s="142">
        <v>0</v>
      </c>
      <c r="AK169" s="142">
        <v>0</v>
      </c>
      <c r="AL169" s="142">
        <v>0</v>
      </c>
      <c r="AM169" s="142">
        <v>0</v>
      </c>
      <c r="AN169" s="142">
        <v>0</v>
      </c>
      <c r="AO169" s="142">
        <v>0</v>
      </c>
      <c r="AP169" s="142">
        <v>0</v>
      </c>
      <c r="AQ169" s="142">
        <v>0</v>
      </c>
      <c r="AR169" s="142">
        <v>0</v>
      </c>
      <c r="AS169" s="142">
        <v>0</v>
      </c>
      <c r="AT169" s="142">
        <v>0</v>
      </c>
      <c r="AU169" s="142">
        <v>0</v>
      </c>
      <c r="AV169" s="142">
        <v>0</v>
      </c>
      <c r="AW169" s="142">
        <v>0</v>
      </c>
    </row>
    <row r="170" spans="18:49" x14ac:dyDescent="0.25">
      <c r="R170" s="141">
        <f t="shared" si="3"/>
        <v>1593.6430524914426</v>
      </c>
      <c r="S170" s="142">
        <v>0</v>
      </c>
      <c r="T170" s="142">
        <v>0</v>
      </c>
      <c r="U170" s="142">
        <v>0</v>
      </c>
      <c r="V170" s="142">
        <v>0</v>
      </c>
      <c r="W170" s="142">
        <v>0</v>
      </c>
      <c r="X170" s="142">
        <v>0</v>
      </c>
      <c r="Y170" s="142">
        <v>0</v>
      </c>
      <c r="Z170" s="142">
        <v>0</v>
      </c>
      <c r="AA170" s="142">
        <v>0</v>
      </c>
      <c r="AB170" s="142">
        <v>0</v>
      </c>
      <c r="AC170" s="142">
        <v>0</v>
      </c>
      <c r="AD170" s="142">
        <v>0</v>
      </c>
      <c r="AE170" s="142">
        <v>0</v>
      </c>
      <c r="AF170" s="142">
        <v>0</v>
      </c>
      <c r="AG170" s="142">
        <v>0</v>
      </c>
      <c r="AH170" s="142">
        <v>0</v>
      </c>
      <c r="AI170" s="142">
        <v>0</v>
      </c>
      <c r="AJ170" s="142">
        <v>0</v>
      </c>
      <c r="AK170" s="142">
        <v>0</v>
      </c>
      <c r="AL170" s="142">
        <v>0</v>
      </c>
      <c r="AM170" s="142">
        <v>0</v>
      </c>
      <c r="AN170" s="142">
        <v>0</v>
      </c>
      <c r="AO170" s="142">
        <v>0</v>
      </c>
      <c r="AP170" s="142">
        <v>0</v>
      </c>
      <c r="AQ170" s="142">
        <v>0</v>
      </c>
      <c r="AR170" s="142">
        <v>0</v>
      </c>
      <c r="AS170" s="142">
        <v>0</v>
      </c>
      <c r="AT170" s="142">
        <v>0</v>
      </c>
      <c r="AU170" s="142">
        <v>0</v>
      </c>
      <c r="AV170" s="142">
        <v>0</v>
      </c>
      <c r="AW170" s="142">
        <v>0</v>
      </c>
    </row>
    <row r="171" spans="18:49" x14ac:dyDescent="0.25">
      <c r="R171" s="141">
        <f t="shared" si="3"/>
        <v>1650.5588757947085</v>
      </c>
      <c r="S171" s="142">
        <v>0</v>
      </c>
      <c r="T171" s="142">
        <v>0</v>
      </c>
      <c r="U171" s="142">
        <v>0</v>
      </c>
      <c r="V171" s="142">
        <v>0</v>
      </c>
      <c r="W171" s="142">
        <v>0</v>
      </c>
      <c r="X171" s="142">
        <v>0</v>
      </c>
      <c r="Y171" s="142">
        <v>0</v>
      </c>
      <c r="Z171" s="142">
        <v>0</v>
      </c>
      <c r="AA171" s="142">
        <v>0</v>
      </c>
      <c r="AB171" s="142">
        <v>0</v>
      </c>
      <c r="AC171" s="142">
        <v>0</v>
      </c>
      <c r="AD171" s="142">
        <v>0</v>
      </c>
      <c r="AE171" s="142">
        <v>0</v>
      </c>
      <c r="AF171" s="142">
        <v>0</v>
      </c>
      <c r="AG171" s="142">
        <v>0</v>
      </c>
      <c r="AH171" s="142">
        <v>0</v>
      </c>
      <c r="AI171" s="142">
        <v>0</v>
      </c>
      <c r="AJ171" s="142">
        <v>0</v>
      </c>
      <c r="AK171" s="142">
        <v>0</v>
      </c>
      <c r="AL171" s="142">
        <v>0</v>
      </c>
      <c r="AM171" s="142">
        <v>0</v>
      </c>
      <c r="AN171" s="142">
        <v>0</v>
      </c>
      <c r="AO171" s="142">
        <v>0</v>
      </c>
      <c r="AP171" s="142">
        <v>0</v>
      </c>
      <c r="AQ171" s="142">
        <v>0</v>
      </c>
      <c r="AR171" s="142">
        <v>0</v>
      </c>
      <c r="AS171" s="142">
        <v>0</v>
      </c>
      <c r="AT171" s="142">
        <v>0</v>
      </c>
      <c r="AU171" s="142">
        <v>0</v>
      </c>
      <c r="AV171" s="142">
        <v>0</v>
      </c>
      <c r="AW171" s="142">
        <v>0</v>
      </c>
    </row>
    <row r="172" spans="18:49" x14ac:dyDescent="0.25">
      <c r="R172" s="141">
        <f t="shared" si="3"/>
        <v>1707.4746990979741</v>
      </c>
      <c r="S172" s="142">
        <v>0</v>
      </c>
      <c r="T172" s="142">
        <v>0</v>
      </c>
      <c r="U172" s="142">
        <v>0</v>
      </c>
      <c r="V172" s="142">
        <v>0</v>
      </c>
      <c r="W172" s="142">
        <v>0</v>
      </c>
      <c r="X172" s="142">
        <v>0</v>
      </c>
      <c r="Y172" s="142">
        <v>0</v>
      </c>
      <c r="Z172" s="142">
        <v>0</v>
      </c>
      <c r="AA172" s="142">
        <v>0</v>
      </c>
      <c r="AB172" s="142">
        <v>0</v>
      </c>
      <c r="AC172" s="142">
        <v>0</v>
      </c>
      <c r="AD172" s="142">
        <v>0</v>
      </c>
      <c r="AE172" s="142">
        <v>0</v>
      </c>
      <c r="AF172" s="142">
        <v>0</v>
      </c>
      <c r="AG172" s="142">
        <v>0</v>
      </c>
      <c r="AH172" s="142">
        <v>0</v>
      </c>
      <c r="AI172" s="142">
        <v>0</v>
      </c>
      <c r="AJ172" s="142">
        <v>0</v>
      </c>
      <c r="AK172" s="142">
        <v>0</v>
      </c>
      <c r="AL172" s="142">
        <v>0</v>
      </c>
      <c r="AM172" s="142">
        <v>0</v>
      </c>
      <c r="AN172" s="142">
        <v>0</v>
      </c>
      <c r="AO172" s="142">
        <v>0</v>
      </c>
      <c r="AP172" s="142">
        <v>0</v>
      </c>
      <c r="AQ172" s="142">
        <v>0</v>
      </c>
      <c r="AR172" s="142">
        <v>0</v>
      </c>
      <c r="AS172" s="142">
        <v>0</v>
      </c>
      <c r="AT172" s="142">
        <v>0</v>
      </c>
      <c r="AU172" s="142">
        <v>0</v>
      </c>
      <c r="AV172" s="142">
        <v>0</v>
      </c>
      <c r="AW172" s="142">
        <v>0</v>
      </c>
    </row>
    <row r="173" spans="18:49" x14ac:dyDescent="0.25">
      <c r="R173" s="141">
        <f t="shared" si="3"/>
        <v>1764.3905224012399</v>
      </c>
      <c r="S173" s="142">
        <v>0</v>
      </c>
      <c r="T173" s="142">
        <v>0</v>
      </c>
      <c r="U173" s="142">
        <v>0</v>
      </c>
      <c r="V173" s="142">
        <v>0</v>
      </c>
      <c r="W173" s="142">
        <v>0</v>
      </c>
      <c r="X173" s="142">
        <v>0</v>
      </c>
      <c r="Y173" s="142">
        <v>0</v>
      </c>
      <c r="Z173" s="142">
        <v>0</v>
      </c>
      <c r="AA173" s="142">
        <v>0</v>
      </c>
      <c r="AB173" s="142">
        <v>0</v>
      </c>
      <c r="AC173" s="142">
        <v>0</v>
      </c>
      <c r="AD173" s="142">
        <v>0</v>
      </c>
      <c r="AE173" s="142">
        <v>0</v>
      </c>
      <c r="AF173" s="142">
        <v>0</v>
      </c>
      <c r="AG173" s="142">
        <v>0</v>
      </c>
      <c r="AH173" s="142">
        <v>0</v>
      </c>
      <c r="AI173" s="142">
        <v>0</v>
      </c>
      <c r="AJ173" s="142">
        <v>0</v>
      </c>
      <c r="AK173" s="142">
        <v>0</v>
      </c>
      <c r="AL173" s="142">
        <v>0</v>
      </c>
      <c r="AM173" s="142">
        <v>0</v>
      </c>
      <c r="AN173" s="142">
        <v>0</v>
      </c>
      <c r="AO173" s="142">
        <v>0</v>
      </c>
      <c r="AP173" s="142">
        <v>0</v>
      </c>
      <c r="AQ173" s="142">
        <v>0</v>
      </c>
      <c r="AR173" s="142">
        <v>0</v>
      </c>
      <c r="AS173" s="142">
        <v>0</v>
      </c>
      <c r="AT173" s="142">
        <v>0</v>
      </c>
      <c r="AU173" s="142">
        <v>0</v>
      </c>
      <c r="AV173" s="142">
        <v>0</v>
      </c>
      <c r="AW173" s="142">
        <v>0</v>
      </c>
    </row>
    <row r="174" spans="18:49" x14ac:dyDescent="0.25">
      <c r="R174" s="141">
        <f t="shared" si="3"/>
        <v>1821.3063457045057</v>
      </c>
      <c r="S174" s="142">
        <v>0</v>
      </c>
      <c r="T174" s="142">
        <v>0</v>
      </c>
      <c r="U174" s="142">
        <v>0</v>
      </c>
      <c r="V174" s="142">
        <v>0</v>
      </c>
      <c r="W174" s="142">
        <v>0</v>
      </c>
      <c r="X174" s="142">
        <v>0</v>
      </c>
      <c r="Y174" s="142">
        <v>0</v>
      </c>
      <c r="Z174" s="142">
        <v>0</v>
      </c>
      <c r="AA174" s="142">
        <v>0</v>
      </c>
      <c r="AB174" s="142">
        <v>0</v>
      </c>
      <c r="AC174" s="142">
        <v>0</v>
      </c>
      <c r="AD174" s="142">
        <v>0</v>
      </c>
      <c r="AE174" s="142">
        <v>0</v>
      </c>
      <c r="AF174" s="142">
        <v>0</v>
      </c>
      <c r="AG174" s="142">
        <v>0</v>
      </c>
      <c r="AH174" s="142">
        <v>0</v>
      </c>
      <c r="AI174" s="142">
        <v>0</v>
      </c>
      <c r="AJ174" s="142">
        <v>0</v>
      </c>
      <c r="AK174" s="142">
        <v>0</v>
      </c>
      <c r="AL174" s="142">
        <v>0</v>
      </c>
      <c r="AM174" s="142">
        <v>0</v>
      </c>
      <c r="AN174" s="142">
        <v>0</v>
      </c>
      <c r="AO174" s="142">
        <v>0</v>
      </c>
      <c r="AP174" s="142">
        <v>0</v>
      </c>
      <c r="AQ174" s="142">
        <v>0</v>
      </c>
      <c r="AR174" s="142">
        <v>0</v>
      </c>
      <c r="AS174" s="142">
        <v>0</v>
      </c>
      <c r="AT174" s="142">
        <v>0</v>
      </c>
      <c r="AU174" s="142">
        <v>0</v>
      </c>
      <c r="AV174" s="142">
        <v>0</v>
      </c>
      <c r="AW174" s="142">
        <v>0</v>
      </c>
    </row>
    <row r="175" spans="18:49" x14ac:dyDescent="0.25">
      <c r="R175" s="141">
        <f t="shared" si="3"/>
        <v>1878.2221690077715</v>
      </c>
      <c r="S175" s="142">
        <v>0</v>
      </c>
      <c r="T175" s="142">
        <v>0</v>
      </c>
      <c r="U175" s="142">
        <v>0</v>
      </c>
      <c r="V175" s="142">
        <v>0</v>
      </c>
      <c r="W175" s="142">
        <v>0</v>
      </c>
      <c r="X175" s="142">
        <v>0</v>
      </c>
      <c r="Y175" s="142">
        <v>0</v>
      </c>
      <c r="Z175" s="142">
        <v>0</v>
      </c>
      <c r="AA175" s="142">
        <v>0</v>
      </c>
      <c r="AB175" s="142">
        <v>0</v>
      </c>
      <c r="AC175" s="142">
        <v>0</v>
      </c>
      <c r="AD175" s="142">
        <v>0</v>
      </c>
      <c r="AE175" s="142">
        <v>0</v>
      </c>
      <c r="AF175" s="142">
        <v>0</v>
      </c>
      <c r="AG175" s="142">
        <v>0</v>
      </c>
      <c r="AH175" s="142">
        <v>0</v>
      </c>
      <c r="AI175" s="142">
        <v>0</v>
      </c>
      <c r="AJ175" s="142">
        <v>0</v>
      </c>
      <c r="AK175" s="142">
        <v>0</v>
      </c>
      <c r="AL175" s="142">
        <v>0</v>
      </c>
      <c r="AM175" s="142">
        <v>0</v>
      </c>
      <c r="AN175" s="142">
        <v>0</v>
      </c>
      <c r="AO175" s="142">
        <v>0</v>
      </c>
      <c r="AP175" s="142">
        <v>0</v>
      </c>
      <c r="AQ175" s="142">
        <v>0</v>
      </c>
      <c r="AR175" s="142">
        <v>0</v>
      </c>
      <c r="AS175" s="142">
        <v>0</v>
      </c>
      <c r="AT175" s="142">
        <v>0</v>
      </c>
      <c r="AU175" s="142">
        <v>0</v>
      </c>
      <c r="AV175" s="142">
        <v>0</v>
      </c>
      <c r="AW175" s="142">
        <v>0</v>
      </c>
    </row>
    <row r="176" spans="18:49" x14ac:dyDescent="0.25">
      <c r="R176" s="141">
        <f t="shared" si="3"/>
        <v>1935.1379923110374</v>
      </c>
      <c r="S176" s="142">
        <v>0</v>
      </c>
      <c r="T176" s="142">
        <v>0</v>
      </c>
      <c r="U176" s="142">
        <v>0</v>
      </c>
      <c r="V176" s="142">
        <v>0</v>
      </c>
      <c r="W176" s="142">
        <v>0</v>
      </c>
      <c r="X176" s="142">
        <v>0</v>
      </c>
      <c r="Y176" s="142">
        <v>0</v>
      </c>
      <c r="Z176" s="142">
        <v>0</v>
      </c>
      <c r="AA176" s="142">
        <v>0</v>
      </c>
      <c r="AB176" s="142">
        <v>0</v>
      </c>
      <c r="AC176" s="142">
        <v>0</v>
      </c>
      <c r="AD176" s="142">
        <v>0</v>
      </c>
      <c r="AE176" s="142">
        <v>0</v>
      </c>
      <c r="AF176" s="142">
        <v>0</v>
      </c>
      <c r="AG176" s="142">
        <v>0</v>
      </c>
      <c r="AH176" s="142">
        <v>0</v>
      </c>
      <c r="AI176" s="142">
        <v>0</v>
      </c>
      <c r="AJ176" s="142">
        <v>0</v>
      </c>
      <c r="AK176" s="142">
        <v>0</v>
      </c>
      <c r="AL176" s="142">
        <v>0</v>
      </c>
      <c r="AM176" s="142">
        <v>0</v>
      </c>
      <c r="AN176" s="142">
        <v>0</v>
      </c>
      <c r="AO176" s="142">
        <v>0</v>
      </c>
      <c r="AP176" s="142">
        <v>0</v>
      </c>
      <c r="AQ176" s="142">
        <v>0</v>
      </c>
      <c r="AR176" s="142">
        <v>0</v>
      </c>
      <c r="AS176" s="142">
        <v>0</v>
      </c>
      <c r="AT176" s="142">
        <v>0</v>
      </c>
      <c r="AU176" s="142">
        <v>0</v>
      </c>
      <c r="AV176" s="142">
        <v>0</v>
      </c>
      <c r="AW176" s="142">
        <v>0</v>
      </c>
    </row>
    <row r="177" spans="18:49" x14ac:dyDescent="0.25">
      <c r="R177" s="141">
        <f t="shared" si="3"/>
        <v>1992.0538156143032</v>
      </c>
      <c r="S177" s="142">
        <v>0</v>
      </c>
      <c r="T177" s="142">
        <v>0</v>
      </c>
      <c r="U177" s="142">
        <v>0</v>
      </c>
      <c r="V177" s="142">
        <v>0</v>
      </c>
      <c r="W177" s="142">
        <v>0</v>
      </c>
      <c r="X177" s="142">
        <v>0</v>
      </c>
      <c r="Y177" s="142">
        <v>0</v>
      </c>
      <c r="Z177" s="142">
        <v>0</v>
      </c>
      <c r="AA177" s="142">
        <v>0</v>
      </c>
      <c r="AB177" s="142">
        <v>0</v>
      </c>
      <c r="AC177" s="142">
        <v>0</v>
      </c>
      <c r="AD177" s="142">
        <v>0</v>
      </c>
      <c r="AE177" s="142">
        <v>0</v>
      </c>
      <c r="AF177" s="142">
        <v>0</v>
      </c>
      <c r="AG177" s="142">
        <v>0</v>
      </c>
      <c r="AH177" s="142">
        <v>0</v>
      </c>
      <c r="AI177" s="142">
        <v>0</v>
      </c>
      <c r="AJ177" s="142">
        <v>0</v>
      </c>
      <c r="AK177" s="142">
        <v>0</v>
      </c>
      <c r="AL177" s="142">
        <v>0</v>
      </c>
      <c r="AM177" s="142">
        <v>0</v>
      </c>
      <c r="AN177" s="142">
        <v>0</v>
      </c>
      <c r="AO177" s="142">
        <v>0</v>
      </c>
      <c r="AP177" s="142">
        <v>0</v>
      </c>
      <c r="AQ177" s="142">
        <v>0</v>
      </c>
      <c r="AR177" s="142">
        <v>0</v>
      </c>
      <c r="AS177" s="142">
        <v>0</v>
      </c>
      <c r="AT177" s="142">
        <v>0</v>
      </c>
      <c r="AU177" s="142">
        <v>0</v>
      </c>
      <c r="AV177" s="142">
        <v>0</v>
      </c>
      <c r="AW177" s="142">
        <v>0</v>
      </c>
    </row>
    <row r="178" spans="18:49" x14ac:dyDescent="0.25">
      <c r="R178" s="141">
        <f t="shared" si="3"/>
        <v>2048.9696389175692</v>
      </c>
      <c r="S178" s="142">
        <v>0</v>
      </c>
      <c r="T178" s="142">
        <v>0</v>
      </c>
      <c r="U178" s="142">
        <v>0</v>
      </c>
      <c r="V178" s="142">
        <v>0</v>
      </c>
      <c r="W178" s="142">
        <v>0</v>
      </c>
      <c r="X178" s="142">
        <v>0</v>
      </c>
      <c r="Y178" s="142">
        <v>0</v>
      </c>
      <c r="Z178" s="142">
        <v>0</v>
      </c>
      <c r="AA178" s="142">
        <v>0</v>
      </c>
      <c r="AB178" s="142">
        <v>0</v>
      </c>
      <c r="AC178" s="142">
        <v>0</v>
      </c>
      <c r="AD178" s="142">
        <v>0</v>
      </c>
      <c r="AE178" s="142">
        <v>0</v>
      </c>
      <c r="AF178" s="142">
        <v>0</v>
      </c>
      <c r="AG178" s="142">
        <v>0</v>
      </c>
      <c r="AH178" s="142">
        <v>0</v>
      </c>
      <c r="AI178" s="142">
        <v>0</v>
      </c>
      <c r="AJ178" s="142">
        <v>0</v>
      </c>
      <c r="AK178" s="142">
        <v>0</v>
      </c>
      <c r="AL178" s="142">
        <v>0</v>
      </c>
      <c r="AM178" s="142">
        <v>0</v>
      </c>
      <c r="AN178" s="142">
        <v>0</v>
      </c>
      <c r="AO178" s="142">
        <v>0</v>
      </c>
      <c r="AP178" s="142">
        <v>0</v>
      </c>
      <c r="AQ178" s="142">
        <v>0</v>
      </c>
      <c r="AR178" s="142">
        <v>0</v>
      </c>
      <c r="AS178" s="142">
        <v>0</v>
      </c>
      <c r="AT178" s="142">
        <v>0</v>
      </c>
      <c r="AU178" s="142">
        <v>0</v>
      </c>
      <c r="AV178" s="142">
        <v>0</v>
      </c>
      <c r="AW178" s="142">
        <v>0</v>
      </c>
    </row>
    <row r="179" spans="18:49" x14ac:dyDescent="0.25">
      <c r="R179" s="141">
        <f t="shared" si="3"/>
        <v>2105.8854622208351</v>
      </c>
      <c r="S179" s="142">
        <v>0</v>
      </c>
      <c r="T179" s="142">
        <v>0</v>
      </c>
      <c r="U179" s="142">
        <v>0</v>
      </c>
      <c r="V179" s="142">
        <v>0</v>
      </c>
      <c r="W179" s="142">
        <v>0</v>
      </c>
      <c r="X179" s="142">
        <v>0</v>
      </c>
      <c r="Y179" s="142">
        <v>0</v>
      </c>
      <c r="Z179" s="142">
        <v>0</v>
      </c>
      <c r="AA179" s="142">
        <v>0</v>
      </c>
      <c r="AB179" s="142">
        <v>0</v>
      </c>
      <c r="AC179" s="142">
        <v>0</v>
      </c>
      <c r="AD179" s="142">
        <v>0</v>
      </c>
      <c r="AE179" s="142">
        <v>0</v>
      </c>
      <c r="AF179" s="142">
        <v>0</v>
      </c>
      <c r="AG179" s="142">
        <v>0</v>
      </c>
      <c r="AH179" s="142">
        <v>0</v>
      </c>
      <c r="AI179" s="142">
        <v>0</v>
      </c>
      <c r="AJ179" s="142">
        <v>0</v>
      </c>
      <c r="AK179" s="142">
        <v>0</v>
      </c>
      <c r="AL179" s="142">
        <v>0</v>
      </c>
      <c r="AM179" s="142">
        <v>0</v>
      </c>
      <c r="AN179" s="142">
        <v>0</v>
      </c>
      <c r="AO179" s="142">
        <v>0</v>
      </c>
      <c r="AP179" s="142">
        <v>0</v>
      </c>
      <c r="AQ179" s="142">
        <v>0</v>
      </c>
      <c r="AR179" s="142">
        <v>0</v>
      </c>
      <c r="AS179" s="142">
        <v>0</v>
      </c>
      <c r="AT179" s="142">
        <v>0</v>
      </c>
      <c r="AU179" s="142">
        <v>0</v>
      </c>
      <c r="AV179" s="142">
        <v>0</v>
      </c>
      <c r="AW179" s="142">
        <v>0</v>
      </c>
    </row>
    <row r="180" spans="18:49" x14ac:dyDescent="0.25">
      <c r="R180" s="141">
        <f t="shared" si="3"/>
        <v>2162.8012855241009</v>
      </c>
      <c r="S180" s="142">
        <v>0</v>
      </c>
      <c r="T180" s="142">
        <v>0</v>
      </c>
      <c r="U180" s="142">
        <v>0</v>
      </c>
      <c r="V180" s="142">
        <v>0</v>
      </c>
      <c r="W180" s="142">
        <v>0</v>
      </c>
      <c r="X180" s="142">
        <v>0</v>
      </c>
      <c r="Y180" s="142">
        <v>0</v>
      </c>
      <c r="Z180" s="142">
        <v>0</v>
      </c>
      <c r="AA180" s="142">
        <v>0</v>
      </c>
      <c r="AB180" s="142">
        <v>0</v>
      </c>
      <c r="AC180" s="142">
        <v>0</v>
      </c>
      <c r="AD180" s="142">
        <v>0</v>
      </c>
      <c r="AE180" s="142">
        <v>0</v>
      </c>
      <c r="AF180" s="142">
        <v>0</v>
      </c>
      <c r="AG180" s="142">
        <v>0</v>
      </c>
      <c r="AH180" s="142">
        <v>0</v>
      </c>
      <c r="AI180" s="142">
        <v>0</v>
      </c>
      <c r="AJ180" s="142">
        <v>0</v>
      </c>
      <c r="AK180" s="142">
        <v>0</v>
      </c>
      <c r="AL180" s="142">
        <v>0</v>
      </c>
      <c r="AM180" s="142">
        <v>0</v>
      </c>
      <c r="AN180" s="142">
        <v>0</v>
      </c>
      <c r="AO180" s="142">
        <v>0</v>
      </c>
      <c r="AP180" s="142">
        <v>0</v>
      </c>
      <c r="AQ180" s="142">
        <v>0</v>
      </c>
      <c r="AR180" s="142">
        <v>0</v>
      </c>
      <c r="AS180" s="142">
        <v>0</v>
      </c>
      <c r="AT180" s="142">
        <v>0</v>
      </c>
      <c r="AU180" s="142">
        <v>0</v>
      </c>
      <c r="AV180" s="142">
        <v>0</v>
      </c>
      <c r="AW180" s="142">
        <v>0</v>
      </c>
    </row>
    <row r="181" spans="18:49" x14ac:dyDescent="0.25">
      <c r="R181" s="141">
        <f t="shared" si="3"/>
        <v>2219.7171088273667</v>
      </c>
      <c r="S181" s="142">
        <v>0</v>
      </c>
      <c r="T181" s="142">
        <v>0</v>
      </c>
      <c r="U181" s="142">
        <v>0</v>
      </c>
      <c r="V181" s="142">
        <v>0</v>
      </c>
      <c r="W181" s="142">
        <v>0</v>
      </c>
      <c r="X181" s="142">
        <v>0</v>
      </c>
      <c r="Y181" s="142">
        <v>0</v>
      </c>
      <c r="Z181" s="142">
        <v>0</v>
      </c>
      <c r="AA181" s="142">
        <v>0</v>
      </c>
      <c r="AB181" s="142">
        <v>0</v>
      </c>
      <c r="AC181" s="142">
        <v>0</v>
      </c>
      <c r="AD181" s="142">
        <v>0</v>
      </c>
      <c r="AE181" s="142">
        <v>0</v>
      </c>
      <c r="AF181" s="142">
        <v>0</v>
      </c>
      <c r="AG181" s="142">
        <v>0</v>
      </c>
      <c r="AH181" s="142">
        <v>0</v>
      </c>
      <c r="AI181" s="142">
        <v>0</v>
      </c>
      <c r="AJ181" s="142">
        <v>0</v>
      </c>
      <c r="AK181" s="142">
        <v>0</v>
      </c>
      <c r="AL181" s="142">
        <v>0</v>
      </c>
      <c r="AM181" s="142">
        <v>0</v>
      </c>
      <c r="AN181" s="142">
        <v>0</v>
      </c>
      <c r="AO181" s="142">
        <v>0</v>
      </c>
      <c r="AP181" s="142">
        <v>0</v>
      </c>
      <c r="AQ181" s="142">
        <v>0</v>
      </c>
      <c r="AR181" s="142">
        <v>0</v>
      </c>
      <c r="AS181" s="142">
        <v>0</v>
      </c>
      <c r="AT181" s="142">
        <v>0</v>
      </c>
      <c r="AU181" s="142">
        <v>0</v>
      </c>
      <c r="AV181" s="142">
        <v>0</v>
      </c>
      <c r="AW181" s="142">
        <v>0</v>
      </c>
    </row>
    <row r="182" spans="18:49" x14ac:dyDescent="0.25">
      <c r="R182" s="141">
        <f t="shared" si="3"/>
        <v>2276.6329321306321</v>
      </c>
      <c r="S182" s="142">
        <v>0</v>
      </c>
      <c r="T182" s="142">
        <v>0</v>
      </c>
      <c r="U182" s="142">
        <v>0</v>
      </c>
      <c r="V182" s="142">
        <v>0</v>
      </c>
      <c r="W182" s="142">
        <v>0</v>
      </c>
      <c r="X182" s="142">
        <v>0</v>
      </c>
      <c r="Y182" s="142">
        <v>0</v>
      </c>
      <c r="Z182" s="142">
        <v>0</v>
      </c>
      <c r="AA182" s="142">
        <v>0</v>
      </c>
      <c r="AB182" s="142">
        <v>0</v>
      </c>
      <c r="AC182" s="142">
        <v>0</v>
      </c>
      <c r="AD182" s="142">
        <v>0</v>
      </c>
      <c r="AE182" s="142">
        <v>0</v>
      </c>
      <c r="AF182" s="142">
        <v>0</v>
      </c>
      <c r="AG182" s="142">
        <v>0</v>
      </c>
      <c r="AH182" s="142">
        <v>0</v>
      </c>
      <c r="AI182" s="142">
        <v>0</v>
      </c>
      <c r="AJ182" s="142">
        <v>0</v>
      </c>
      <c r="AK182" s="142">
        <v>0</v>
      </c>
      <c r="AL182" s="142">
        <v>0</v>
      </c>
      <c r="AM182" s="142">
        <v>0</v>
      </c>
      <c r="AN182" s="142">
        <v>0</v>
      </c>
      <c r="AO182" s="142">
        <v>0</v>
      </c>
      <c r="AP182" s="142">
        <v>0</v>
      </c>
      <c r="AQ182" s="142">
        <v>0</v>
      </c>
      <c r="AR182" s="142">
        <v>0</v>
      </c>
      <c r="AS182" s="142">
        <v>0</v>
      </c>
      <c r="AT182" s="142">
        <v>0</v>
      </c>
      <c r="AU182" s="142">
        <v>0</v>
      </c>
      <c r="AV182" s="142">
        <v>0</v>
      </c>
      <c r="AW182" s="142">
        <v>0</v>
      </c>
    </row>
    <row r="183" spans="18:49" x14ac:dyDescent="0.25">
      <c r="R183" s="141">
        <f t="shared" si="3"/>
        <v>2333.5487554338979</v>
      </c>
      <c r="S183" s="142">
        <v>0</v>
      </c>
      <c r="T183" s="142">
        <v>0</v>
      </c>
      <c r="U183" s="142">
        <v>0</v>
      </c>
      <c r="V183" s="142">
        <v>0</v>
      </c>
      <c r="W183" s="142">
        <v>0</v>
      </c>
      <c r="X183" s="142">
        <v>0</v>
      </c>
      <c r="Y183" s="142">
        <v>0</v>
      </c>
      <c r="Z183" s="142">
        <v>0</v>
      </c>
      <c r="AA183" s="142">
        <v>0</v>
      </c>
      <c r="AB183" s="142">
        <v>0</v>
      </c>
      <c r="AC183" s="142">
        <v>0</v>
      </c>
      <c r="AD183" s="142">
        <v>0</v>
      </c>
      <c r="AE183" s="142">
        <v>0</v>
      </c>
      <c r="AF183" s="142">
        <v>0</v>
      </c>
      <c r="AG183" s="142">
        <v>0</v>
      </c>
      <c r="AH183" s="142">
        <v>0</v>
      </c>
      <c r="AI183" s="142">
        <v>0</v>
      </c>
      <c r="AJ183" s="142">
        <v>0</v>
      </c>
      <c r="AK183" s="142">
        <v>0</v>
      </c>
      <c r="AL183" s="142">
        <v>0</v>
      </c>
      <c r="AM183" s="142">
        <v>0</v>
      </c>
      <c r="AN183" s="142">
        <v>0</v>
      </c>
      <c r="AO183" s="142">
        <v>0</v>
      </c>
      <c r="AP183" s="142">
        <v>0</v>
      </c>
      <c r="AQ183" s="142">
        <v>0</v>
      </c>
      <c r="AR183" s="142">
        <v>0</v>
      </c>
      <c r="AS183" s="142">
        <v>0</v>
      </c>
      <c r="AT183" s="142">
        <v>0</v>
      </c>
      <c r="AU183" s="142">
        <v>0</v>
      </c>
      <c r="AV183" s="142">
        <v>0</v>
      </c>
      <c r="AW183" s="142">
        <v>0</v>
      </c>
    </row>
    <row r="184" spans="18:49" x14ac:dyDescent="0.25">
      <c r="R184" s="141">
        <f t="shared" si="3"/>
        <v>2390.4645787371637</v>
      </c>
      <c r="S184" s="142">
        <v>0</v>
      </c>
      <c r="T184" s="142">
        <v>0</v>
      </c>
      <c r="U184" s="142">
        <v>0</v>
      </c>
      <c r="V184" s="142">
        <v>0</v>
      </c>
      <c r="W184" s="142">
        <v>0</v>
      </c>
      <c r="X184" s="142">
        <v>0</v>
      </c>
      <c r="Y184" s="142">
        <v>0</v>
      </c>
      <c r="Z184" s="142">
        <v>0</v>
      </c>
      <c r="AA184" s="142">
        <v>0</v>
      </c>
      <c r="AB184" s="142">
        <v>0</v>
      </c>
      <c r="AC184" s="142">
        <v>0</v>
      </c>
      <c r="AD184" s="142">
        <v>0</v>
      </c>
      <c r="AE184" s="142">
        <v>0</v>
      </c>
      <c r="AF184" s="142">
        <v>0</v>
      </c>
      <c r="AG184" s="142">
        <v>0</v>
      </c>
      <c r="AH184" s="142">
        <v>0</v>
      </c>
      <c r="AI184" s="142">
        <v>0</v>
      </c>
      <c r="AJ184" s="142">
        <v>0</v>
      </c>
      <c r="AK184" s="142">
        <v>0</v>
      </c>
      <c r="AL184" s="142">
        <v>0</v>
      </c>
      <c r="AM184" s="142">
        <v>0</v>
      </c>
      <c r="AN184" s="142">
        <v>0</v>
      </c>
      <c r="AO184" s="142">
        <v>0</v>
      </c>
      <c r="AP184" s="142">
        <v>0</v>
      </c>
      <c r="AQ184" s="142">
        <v>0</v>
      </c>
      <c r="AR184" s="142">
        <v>0</v>
      </c>
      <c r="AS184" s="142">
        <v>0</v>
      </c>
      <c r="AT184" s="142">
        <v>0</v>
      </c>
      <c r="AU184" s="142">
        <v>0</v>
      </c>
      <c r="AV184" s="142">
        <v>0</v>
      </c>
      <c r="AW184" s="142">
        <v>0</v>
      </c>
    </row>
    <row r="185" spans="18:49" x14ac:dyDescent="0.25">
      <c r="R185" s="141">
        <f t="shared" si="3"/>
        <v>2447.3804020404295</v>
      </c>
      <c r="S185" s="142">
        <v>0</v>
      </c>
      <c r="T185" s="142">
        <v>0</v>
      </c>
      <c r="U185" s="142">
        <v>0</v>
      </c>
      <c r="V185" s="142">
        <v>0</v>
      </c>
      <c r="W185" s="142">
        <v>0</v>
      </c>
      <c r="X185" s="142">
        <v>0</v>
      </c>
      <c r="Y185" s="142">
        <v>0</v>
      </c>
      <c r="Z185" s="142">
        <v>0</v>
      </c>
      <c r="AA185" s="142">
        <v>0</v>
      </c>
      <c r="AB185" s="142">
        <v>0</v>
      </c>
      <c r="AC185" s="142">
        <v>0</v>
      </c>
      <c r="AD185" s="142">
        <v>0</v>
      </c>
      <c r="AE185" s="142">
        <v>0</v>
      </c>
      <c r="AF185" s="142">
        <v>0</v>
      </c>
      <c r="AG185" s="142">
        <v>0</v>
      </c>
      <c r="AH185" s="142">
        <v>0</v>
      </c>
      <c r="AI185" s="142">
        <v>0</v>
      </c>
      <c r="AJ185" s="142">
        <v>0</v>
      </c>
      <c r="AK185" s="142">
        <v>0</v>
      </c>
      <c r="AL185" s="142">
        <v>0</v>
      </c>
      <c r="AM185" s="142">
        <v>0</v>
      </c>
      <c r="AN185" s="142">
        <v>0</v>
      </c>
      <c r="AO185" s="142">
        <v>0</v>
      </c>
      <c r="AP185" s="142">
        <v>0</v>
      </c>
      <c r="AQ185" s="142">
        <v>0</v>
      </c>
      <c r="AR185" s="142">
        <v>0</v>
      </c>
      <c r="AS185" s="142">
        <v>0</v>
      </c>
      <c r="AT185" s="142">
        <v>0</v>
      </c>
      <c r="AU185" s="142">
        <v>0</v>
      </c>
      <c r="AV185" s="142">
        <v>0</v>
      </c>
      <c r="AW185" s="142">
        <v>0</v>
      </c>
    </row>
    <row r="186" spans="18:49" x14ac:dyDescent="0.25">
      <c r="R186" s="141">
        <f t="shared" si="3"/>
        <v>2504.2962253436954</v>
      </c>
      <c r="S186" s="142">
        <v>0</v>
      </c>
      <c r="T186" s="142">
        <v>0</v>
      </c>
      <c r="U186" s="142">
        <v>0</v>
      </c>
      <c r="V186" s="142">
        <v>0</v>
      </c>
      <c r="W186" s="142">
        <v>0</v>
      </c>
      <c r="X186" s="142">
        <v>0</v>
      </c>
      <c r="Y186" s="142">
        <v>0</v>
      </c>
      <c r="Z186" s="142">
        <v>0</v>
      </c>
      <c r="AA186" s="142">
        <v>0</v>
      </c>
      <c r="AB186" s="142">
        <v>0</v>
      </c>
      <c r="AC186" s="142">
        <v>0</v>
      </c>
      <c r="AD186" s="142">
        <v>0</v>
      </c>
      <c r="AE186" s="142">
        <v>0</v>
      </c>
      <c r="AF186" s="142">
        <v>0</v>
      </c>
      <c r="AG186" s="142">
        <v>0</v>
      </c>
      <c r="AH186" s="142">
        <v>0</v>
      </c>
      <c r="AI186" s="142">
        <v>0</v>
      </c>
      <c r="AJ186" s="142">
        <v>0</v>
      </c>
      <c r="AK186" s="142">
        <v>0</v>
      </c>
      <c r="AL186" s="142">
        <v>0</v>
      </c>
      <c r="AM186" s="142">
        <v>0</v>
      </c>
      <c r="AN186" s="142">
        <v>0</v>
      </c>
      <c r="AO186" s="142">
        <v>0</v>
      </c>
      <c r="AP186" s="142">
        <v>0</v>
      </c>
      <c r="AQ186" s="142">
        <v>0</v>
      </c>
      <c r="AR186" s="142">
        <v>0</v>
      </c>
      <c r="AS186" s="142">
        <v>0</v>
      </c>
      <c r="AT186" s="142">
        <v>0</v>
      </c>
      <c r="AU186" s="142">
        <v>0</v>
      </c>
      <c r="AV186" s="142">
        <v>0</v>
      </c>
      <c r="AW186" s="142">
        <v>0</v>
      </c>
    </row>
    <row r="187" spans="18:49" x14ac:dyDescent="0.25">
      <c r="R187" s="141">
        <f t="shared" si="3"/>
        <v>2561.2120486469612</v>
      </c>
      <c r="S187" s="142">
        <v>0</v>
      </c>
      <c r="T187" s="142">
        <v>0</v>
      </c>
      <c r="U187" s="142">
        <v>0</v>
      </c>
      <c r="V187" s="142">
        <v>0</v>
      </c>
      <c r="W187" s="142">
        <v>0</v>
      </c>
      <c r="X187" s="142">
        <v>0</v>
      </c>
      <c r="Y187" s="142">
        <v>0</v>
      </c>
      <c r="Z187" s="142">
        <v>0</v>
      </c>
      <c r="AA187" s="142">
        <v>0</v>
      </c>
      <c r="AB187" s="142">
        <v>0</v>
      </c>
      <c r="AC187" s="142">
        <v>0</v>
      </c>
      <c r="AD187" s="142">
        <v>0</v>
      </c>
      <c r="AE187" s="142">
        <v>0</v>
      </c>
      <c r="AF187" s="142">
        <v>0</v>
      </c>
      <c r="AG187" s="142">
        <v>0</v>
      </c>
      <c r="AH187" s="142">
        <v>0</v>
      </c>
      <c r="AI187" s="142">
        <v>0</v>
      </c>
      <c r="AJ187" s="142">
        <v>0</v>
      </c>
      <c r="AK187" s="142">
        <v>0</v>
      </c>
      <c r="AL187" s="142">
        <v>0</v>
      </c>
      <c r="AM187" s="142">
        <v>0</v>
      </c>
      <c r="AN187" s="142">
        <v>0</v>
      </c>
      <c r="AO187" s="142">
        <v>0</v>
      </c>
      <c r="AP187" s="142">
        <v>0</v>
      </c>
      <c r="AQ187" s="142">
        <v>0</v>
      </c>
      <c r="AR187" s="142">
        <v>0</v>
      </c>
      <c r="AS187" s="142">
        <v>0</v>
      </c>
      <c r="AT187" s="142">
        <v>0</v>
      </c>
      <c r="AU187" s="142">
        <v>0</v>
      </c>
      <c r="AV187" s="142">
        <v>0</v>
      </c>
      <c r="AW187" s="142">
        <v>0</v>
      </c>
    </row>
    <row r="188" spans="18:49" x14ac:dyDescent="0.25">
      <c r="R188" s="141">
        <f t="shared" si="3"/>
        <v>2618.1278719502275</v>
      </c>
      <c r="S188" s="142">
        <v>0</v>
      </c>
      <c r="T188" s="142">
        <v>0</v>
      </c>
      <c r="U188" s="142">
        <v>0</v>
      </c>
      <c r="V188" s="142">
        <v>0</v>
      </c>
      <c r="W188" s="142">
        <v>0</v>
      </c>
      <c r="X188" s="142">
        <v>0</v>
      </c>
      <c r="Y188" s="142">
        <v>0</v>
      </c>
      <c r="Z188" s="142">
        <v>0</v>
      </c>
      <c r="AA188" s="142">
        <v>0</v>
      </c>
      <c r="AB188" s="142">
        <v>0</v>
      </c>
      <c r="AC188" s="142">
        <v>0</v>
      </c>
      <c r="AD188" s="142">
        <v>0</v>
      </c>
      <c r="AE188" s="142">
        <v>0</v>
      </c>
      <c r="AF188" s="142">
        <v>0</v>
      </c>
      <c r="AG188" s="142">
        <v>0</v>
      </c>
      <c r="AH188" s="142">
        <v>0</v>
      </c>
      <c r="AI188" s="142">
        <v>0</v>
      </c>
      <c r="AJ188" s="142">
        <v>0</v>
      </c>
      <c r="AK188" s="142">
        <v>0</v>
      </c>
      <c r="AL188" s="142">
        <v>0</v>
      </c>
      <c r="AM188" s="142">
        <v>0</v>
      </c>
      <c r="AN188" s="142">
        <v>0</v>
      </c>
      <c r="AO188" s="142">
        <v>0</v>
      </c>
      <c r="AP188" s="142">
        <v>0</v>
      </c>
      <c r="AQ188" s="142">
        <v>0</v>
      </c>
      <c r="AR188" s="142">
        <v>0</v>
      </c>
      <c r="AS188" s="142">
        <v>0</v>
      </c>
      <c r="AT188" s="142">
        <v>0</v>
      </c>
      <c r="AU188" s="142">
        <v>0</v>
      </c>
      <c r="AV188" s="142">
        <v>0</v>
      </c>
      <c r="AW188" s="142">
        <v>0</v>
      </c>
    </row>
    <row r="189" spans="18:49" x14ac:dyDescent="0.25">
      <c r="R189" s="141">
        <f t="shared" si="3"/>
        <v>2675.0436952534928</v>
      </c>
      <c r="S189" s="142">
        <v>0</v>
      </c>
      <c r="T189" s="142">
        <v>0</v>
      </c>
      <c r="U189" s="142">
        <v>0</v>
      </c>
      <c r="V189" s="142">
        <v>0</v>
      </c>
      <c r="W189" s="142">
        <v>0</v>
      </c>
      <c r="X189" s="142">
        <v>0</v>
      </c>
      <c r="Y189" s="142">
        <v>0</v>
      </c>
      <c r="Z189" s="142">
        <v>0</v>
      </c>
      <c r="AA189" s="142">
        <v>0</v>
      </c>
      <c r="AB189" s="142">
        <v>0</v>
      </c>
      <c r="AC189" s="142">
        <v>0</v>
      </c>
      <c r="AD189" s="142">
        <v>0</v>
      </c>
      <c r="AE189" s="142">
        <v>0</v>
      </c>
      <c r="AF189" s="142">
        <v>0</v>
      </c>
      <c r="AG189" s="142">
        <v>0</v>
      </c>
      <c r="AH189" s="142">
        <v>0</v>
      </c>
      <c r="AI189" s="142">
        <v>0</v>
      </c>
      <c r="AJ189" s="142">
        <v>0</v>
      </c>
      <c r="AK189" s="142">
        <v>0</v>
      </c>
      <c r="AL189" s="142">
        <v>0</v>
      </c>
      <c r="AM189" s="142">
        <v>0</v>
      </c>
      <c r="AN189" s="142">
        <v>0</v>
      </c>
      <c r="AO189" s="142">
        <v>0</v>
      </c>
      <c r="AP189" s="142">
        <v>0</v>
      </c>
      <c r="AQ189" s="142">
        <v>0</v>
      </c>
      <c r="AR189" s="142">
        <v>0</v>
      </c>
      <c r="AS189" s="142">
        <v>0</v>
      </c>
      <c r="AT189" s="142">
        <v>0</v>
      </c>
      <c r="AU189" s="142">
        <v>0</v>
      </c>
      <c r="AV189" s="142">
        <v>0</v>
      </c>
      <c r="AW189" s="142">
        <v>0</v>
      </c>
    </row>
    <row r="190" spans="18:49" x14ac:dyDescent="0.25">
      <c r="R190" s="141">
        <f t="shared" si="3"/>
        <v>2731.9595185567591</v>
      </c>
      <c r="S190" s="142">
        <v>0</v>
      </c>
      <c r="T190" s="142">
        <v>0</v>
      </c>
      <c r="U190" s="142">
        <v>0</v>
      </c>
      <c r="V190" s="142">
        <v>0</v>
      </c>
      <c r="W190" s="142">
        <v>0</v>
      </c>
      <c r="X190" s="142">
        <v>0</v>
      </c>
      <c r="Y190" s="142">
        <v>0</v>
      </c>
      <c r="Z190" s="142">
        <v>0</v>
      </c>
      <c r="AA190" s="142">
        <v>0</v>
      </c>
      <c r="AB190" s="142">
        <v>0</v>
      </c>
      <c r="AC190" s="142">
        <v>0</v>
      </c>
      <c r="AD190" s="142">
        <v>0</v>
      </c>
      <c r="AE190" s="142">
        <v>0</v>
      </c>
      <c r="AF190" s="142">
        <v>0</v>
      </c>
      <c r="AG190" s="142">
        <v>0</v>
      </c>
      <c r="AH190" s="142">
        <v>0</v>
      </c>
      <c r="AI190" s="142">
        <v>0</v>
      </c>
      <c r="AJ190" s="142">
        <v>0</v>
      </c>
      <c r="AK190" s="142">
        <v>0</v>
      </c>
      <c r="AL190" s="142">
        <v>0</v>
      </c>
      <c r="AM190" s="142">
        <v>0</v>
      </c>
      <c r="AN190" s="142">
        <v>0</v>
      </c>
      <c r="AO190" s="142">
        <v>0</v>
      </c>
      <c r="AP190" s="142">
        <v>0</v>
      </c>
      <c r="AQ190" s="142">
        <v>0</v>
      </c>
      <c r="AR190" s="142">
        <v>0</v>
      </c>
      <c r="AS190" s="142">
        <v>0</v>
      </c>
      <c r="AT190" s="142">
        <v>0</v>
      </c>
      <c r="AU190" s="142">
        <v>0</v>
      </c>
      <c r="AV190" s="142">
        <v>0</v>
      </c>
      <c r="AW190" s="142">
        <v>0</v>
      </c>
    </row>
    <row r="191" spans="18:49" x14ac:dyDescent="0.25">
      <c r="R191" s="141">
        <f t="shared" si="3"/>
        <v>2788.8753418600245</v>
      </c>
      <c r="S191" s="142">
        <v>0</v>
      </c>
      <c r="T191" s="142">
        <v>0</v>
      </c>
      <c r="U191" s="142">
        <v>0</v>
      </c>
      <c r="V191" s="142">
        <v>0</v>
      </c>
      <c r="W191" s="142">
        <v>0</v>
      </c>
      <c r="X191" s="142">
        <v>0</v>
      </c>
      <c r="Y191" s="142">
        <v>0</v>
      </c>
      <c r="Z191" s="142">
        <v>0</v>
      </c>
      <c r="AA191" s="142">
        <v>0</v>
      </c>
      <c r="AB191" s="142">
        <v>0</v>
      </c>
      <c r="AC191" s="142">
        <v>0</v>
      </c>
      <c r="AD191" s="142">
        <v>0</v>
      </c>
      <c r="AE191" s="142">
        <v>0</v>
      </c>
      <c r="AF191" s="142">
        <v>0</v>
      </c>
      <c r="AG191" s="142">
        <v>0</v>
      </c>
      <c r="AH191" s="142">
        <v>0</v>
      </c>
      <c r="AI191" s="142">
        <v>0</v>
      </c>
      <c r="AJ191" s="142">
        <v>0</v>
      </c>
      <c r="AK191" s="142">
        <v>0</v>
      </c>
      <c r="AL191" s="142">
        <v>0</v>
      </c>
      <c r="AM191" s="142">
        <v>0</v>
      </c>
      <c r="AN191" s="142">
        <v>0</v>
      </c>
      <c r="AO191" s="142">
        <v>0</v>
      </c>
      <c r="AP191" s="142">
        <v>0</v>
      </c>
      <c r="AQ191" s="142">
        <v>0</v>
      </c>
      <c r="AR191" s="142">
        <v>0</v>
      </c>
      <c r="AS191" s="142">
        <v>0</v>
      </c>
      <c r="AT191" s="142">
        <v>0</v>
      </c>
      <c r="AU191" s="142">
        <v>0</v>
      </c>
      <c r="AV191" s="142">
        <v>0</v>
      </c>
      <c r="AW191" s="142">
        <v>0</v>
      </c>
    </row>
    <row r="192" spans="18:49" x14ac:dyDescent="0.25">
      <c r="R192" s="141">
        <f t="shared" si="3"/>
        <v>2845.7911651632903</v>
      </c>
      <c r="S192" s="142">
        <v>0</v>
      </c>
      <c r="T192" s="142">
        <v>0</v>
      </c>
      <c r="U192" s="142">
        <v>0</v>
      </c>
      <c r="V192" s="142">
        <v>0</v>
      </c>
      <c r="W192" s="142">
        <v>0</v>
      </c>
      <c r="X192" s="142">
        <v>0</v>
      </c>
      <c r="Y192" s="142">
        <v>0</v>
      </c>
      <c r="Z192" s="142">
        <v>0</v>
      </c>
      <c r="AA192" s="142">
        <v>0</v>
      </c>
      <c r="AB192" s="142">
        <v>0</v>
      </c>
      <c r="AC192" s="142">
        <v>0</v>
      </c>
      <c r="AD192" s="142">
        <v>0</v>
      </c>
      <c r="AE192" s="142">
        <v>0</v>
      </c>
      <c r="AF192" s="142">
        <v>0</v>
      </c>
      <c r="AG192" s="142">
        <v>0</v>
      </c>
      <c r="AH192" s="142">
        <v>0</v>
      </c>
      <c r="AI192" s="142">
        <v>0</v>
      </c>
      <c r="AJ192" s="142">
        <v>0</v>
      </c>
      <c r="AK192" s="142">
        <v>0</v>
      </c>
      <c r="AL192" s="142">
        <v>0</v>
      </c>
      <c r="AM192" s="142">
        <v>0</v>
      </c>
      <c r="AN192" s="142">
        <v>0</v>
      </c>
      <c r="AO192" s="142">
        <v>0</v>
      </c>
      <c r="AP192" s="142">
        <v>0</v>
      </c>
      <c r="AQ192" s="142">
        <v>0</v>
      </c>
      <c r="AR192" s="142">
        <v>0</v>
      </c>
      <c r="AS192" s="142">
        <v>0</v>
      </c>
      <c r="AT192" s="142">
        <v>0</v>
      </c>
      <c r="AU192" s="142">
        <v>0</v>
      </c>
      <c r="AV192" s="142">
        <v>0</v>
      </c>
      <c r="AW192" s="142">
        <v>0</v>
      </c>
    </row>
    <row r="193" spans="18:49" x14ac:dyDescent="0.25">
      <c r="R193" s="141">
        <f t="shared" si="3"/>
        <v>2902.7069884665561</v>
      </c>
      <c r="S193" s="142">
        <v>0</v>
      </c>
      <c r="T193" s="142">
        <v>0</v>
      </c>
      <c r="U193" s="142">
        <v>0</v>
      </c>
      <c r="V193" s="142">
        <v>0</v>
      </c>
      <c r="W193" s="142">
        <v>0</v>
      </c>
      <c r="X193" s="142">
        <v>0</v>
      </c>
      <c r="Y193" s="142">
        <v>0</v>
      </c>
      <c r="Z193" s="142">
        <v>0</v>
      </c>
      <c r="AA193" s="142">
        <v>0</v>
      </c>
      <c r="AB193" s="142">
        <v>0</v>
      </c>
      <c r="AC193" s="142">
        <v>0</v>
      </c>
      <c r="AD193" s="142">
        <v>0</v>
      </c>
      <c r="AE193" s="142">
        <v>0</v>
      </c>
      <c r="AF193" s="142">
        <v>0</v>
      </c>
      <c r="AG193" s="142">
        <v>0</v>
      </c>
      <c r="AH193" s="142">
        <v>0</v>
      </c>
      <c r="AI193" s="142">
        <v>0</v>
      </c>
      <c r="AJ193" s="142">
        <v>0</v>
      </c>
      <c r="AK193" s="142">
        <v>0</v>
      </c>
      <c r="AL193" s="142">
        <v>0</v>
      </c>
      <c r="AM193" s="142">
        <v>0</v>
      </c>
      <c r="AN193" s="142">
        <v>0</v>
      </c>
      <c r="AO193" s="142">
        <v>0</v>
      </c>
      <c r="AP193" s="142">
        <v>0</v>
      </c>
      <c r="AQ193" s="142">
        <v>0</v>
      </c>
      <c r="AR193" s="142">
        <v>0</v>
      </c>
      <c r="AS193" s="142">
        <v>0</v>
      </c>
      <c r="AT193" s="142">
        <v>0</v>
      </c>
      <c r="AU193" s="142">
        <v>0</v>
      </c>
      <c r="AV193" s="142">
        <v>0</v>
      </c>
      <c r="AW193" s="142">
        <v>0</v>
      </c>
    </row>
    <row r="194" spans="18:49" x14ac:dyDescent="0.25">
      <c r="R194" s="141">
        <f t="shared" si="3"/>
        <v>2959.622811769822</v>
      </c>
      <c r="S194" s="142">
        <v>0</v>
      </c>
      <c r="T194" s="142">
        <v>0</v>
      </c>
      <c r="U194" s="142">
        <v>0</v>
      </c>
      <c r="V194" s="142">
        <v>0</v>
      </c>
      <c r="W194" s="142">
        <v>0</v>
      </c>
      <c r="X194" s="142">
        <v>0</v>
      </c>
      <c r="Y194" s="142">
        <v>0</v>
      </c>
      <c r="Z194" s="142">
        <v>0</v>
      </c>
      <c r="AA194" s="142">
        <v>0</v>
      </c>
      <c r="AB194" s="142">
        <v>0</v>
      </c>
      <c r="AC194" s="142">
        <v>0</v>
      </c>
      <c r="AD194" s="142">
        <v>0</v>
      </c>
      <c r="AE194" s="142">
        <v>0</v>
      </c>
      <c r="AF194" s="142">
        <v>0</v>
      </c>
      <c r="AG194" s="142">
        <v>0</v>
      </c>
      <c r="AH194" s="142">
        <v>0</v>
      </c>
      <c r="AI194" s="142">
        <v>0</v>
      </c>
      <c r="AJ194" s="142">
        <v>0</v>
      </c>
      <c r="AK194" s="142">
        <v>0</v>
      </c>
      <c r="AL194" s="142">
        <v>0</v>
      </c>
      <c r="AM194" s="142">
        <v>0</v>
      </c>
      <c r="AN194" s="142">
        <v>0</v>
      </c>
      <c r="AO194" s="142">
        <v>0</v>
      </c>
      <c r="AP194" s="142">
        <v>0</v>
      </c>
      <c r="AQ194" s="142">
        <v>0</v>
      </c>
      <c r="AR194" s="142">
        <v>0</v>
      </c>
      <c r="AS194" s="142">
        <v>0</v>
      </c>
      <c r="AT194" s="142">
        <v>0</v>
      </c>
      <c r="AU194" s="142">
        <v>0</v>
      </c>
      <c r="AV194" s="142">
        <v>0</v>
      </c>
      <c r="AW194" s="142">
        <v>0</v>
      </c>
    </row>
    <row r="195" spans="18:49" x14ac:dyDescent="0.25">
      <c r="R195" s="141">
        <f t="shared" si="3"/>
        <v>3016.5386350730882</v>
      </c>
      <c r="S195" s="142">
        <v>0</v>
      </c>
      <c r="T195" s="142">
        <v>0</v>
      </c>
      <c r="U195" s="142">
        <v>0</v>
      </c>
      <c r="V195" s="142">
        <v>0</v>
      </c>
      <c r="W195" s="142">
        <v>0</v>
      </c>
      <c r="X195" s="142">
        <v>0</v>
      </c>
      <c r="Y195" s="142">
        <v>0</v>
      </c>
      <c r="Z195" s="142">
        <v>0</v>
      </c>
      <c r="AA195" s="142">
        <v>0</v>
      </c>
      <c r="AB195" s="142">
        <v>0</v>
      </c>
      <c r="AC195" s="142">
        <v>0</v>
      </c>
      <c r="AD195" s="142">
        <v>0</v>
      </c>
      <c r="AE195" s="142">
        <v>0</v>
      </c>
      <c r="AF195" s="142">
        <v>0</v>
      </c>
      <c r="AG195" s="142">
        <v>0</v>
      </c>
      <c r="AH195" s="142">
        <v>0</v>
      </c>
      <c r="AI195" s="142">
        <v>0</v>
      </c>
      <c r="AJ195" s="142">
        <v>0</v>
      </c>
      <c r="AK195" s="142">
        <v>0</v>
      </c>
      <c r="AL195" s="142">
        <v>0</v>
      </c>
      <c r="AM195" s="142">
        <v>0</v>
      </c>
      <c r="AN195" s="142">
        <v>0</v>
      </c>
      <c r="AO195" s="142">
        <v>0</v>
      </c>
      <c r="AP195" s="142">
        <v>0</v>
      </c>
      <c r="AQ195" s="142">
        <v>0</v>
      </c>
      <c r="AR195" s="142">
        <v>0</v>
      </c>
      <c r="AS195" s="142">
        <v>0</v>
      </c>
      <c r="AT195" s="142">
        <v>0</v>
      </c>
      <c r="AU195" s="142">
        <v>0</v>
      </c>
      <c r="AV195" s="142">
        <v>0</v>
      </c>
      <c r="AW195" s="142">
        <v>0</v>
      </c>
    </row>
    <row r="196" spans="18:49" x14ac:dyDescent="0.25">
      <c r="R196" s="141">
        <f t="shared" si="3"/>
        <v>3073.4544583763536</v>
      </c>
      <c r="S196" s="142">
        <v>0</v>
      </c>
      <c r="T196" s="142">
        <v>0</v>
      </c>
      <c r="U196" s="142">
        <v>0</v>
      </c>
      <c r="V196" s="142">
        <v>0</v>
      </c>
      <c r="W196" s="142">
        <v>0</v>
      </c>
      <c r="X196" s="142">
        <v>0</v>
      </c>
      <c r="Y196" s="142">
        <v>0</v>
      </c>
      <c r="Z196" s="142">
        <v>0</v>
      </c>
      <c r="AA196" s="142">
        <v>0</v>
      </c>
      <c r="AB196" s="142">
        <v>0</v>
      </c>
      <c r="AC196" s="142">
        <v>0</v>
      </c>
      <c r="AD196" s="142">
        <v>0</v>
      </c>
      <c r="AE196" s="142">
        <v>0</v>
      </c>
      <c r="AF196" s="142">
        <v>0</v>
      </c>
      <c r="AG196" s="142">
        <v>0</v>
      </c>
      <c r="AH196" s="142">
        <v>0</v>
      </c>
      <c r="AI196" s="142">
        <v>0</v>
      </c>
      <c r="AJ196" s="142">
        <v>0</v>
      </c>
      <c r="AK196" s="142">
        <v>0</v>
      </c>
      <c r="AL196" s="142">
        <v>0</v>
      </c>
      <c r="AM196" s="142">
        <v>0</v>
      </c>
      <c r="AN196" s="142">
        <v>0</v>
      </c>
      <c r="AO196" s="142">
        <v>0</v>
      </c>
      <c r="AP196" s="142">
        <v>0</v>
      </c>
      <c r="AQ196" s="142">
        <v>0</v>
      </c>
      <c r="AR196" s="142">
        <v>0</v>
      </c>
      <c r="AS196" s="142">
        <v>0</v>
      </c>
      <c r="AT196" s="142">
        <v>0</v>
      </c>
      <c r="AU196" s="142">
        <v>0</v>
      </c>
      <c r="AV196" s="142">
        <v>0</v>
      </c>
      <c r="AW196" s="142">
        <v>0</v>
      </c>
    </row>
    <row r="197" spans="18:49" x14ac:dyDescent="0.25">
      <c r="R197" s="141">
        <f t="shared" si="3"/>
        <v>3130.370281679619</v>
      </c>
      <c r="S197" s="142">
        <v>0</v>
      </c>
      <c r="T197" s="142">
        <v>0</v>
      </c>
      <c r="U197" s="142">
        <v>0</v>
      </c>
      <c r="V197" s="142">
        <v>0</v>
      </c>
      <c r="W197" s="142">
        <v>0</v>
      </c>
      <c r="X197" s="142">
        <v>0</v>
      </c>
      <c r="Y197" s="142">
        <v>0</v>
      </c>
      <c r="Z197" s="142">
        <v>0</v>
      </c>
      <c r="AA197" s="142">
        <v>0</v>
      </c>
      <c r="AB197" s="142">
        <v>0</v>
      </c>
      <c r="AC197" s="142">
        <v>0</v>
      </c>
      <c r="AD197" s="142">
        <v>0</v>
      </c>
      <c r="AE197" s="142">
        <v>0</v>
      </c>
      <c r="AF197" s="142">
        <v>0</v>
      </c>
      <c r="AG197" s="142">
        <v>0</v>
      </c>
      <c r="AH197" s="142">
        <v>0</v>
      </c>
      <c r="AI197" s="142">
        <v>0</v>
      </c>
      <c r="AJ197" s="142">
        <v>0</v>
      </c>
      <c r="AK197" s="142">
        <v>0</v>
      </c>
      <c r="AL197" s="142">
        <v>0</v>
      </c>
      <c r="AM197" s="142">
        <v>0</v>
      </c>
      <c r="AN197" s="142">
        <v>0</v>
      </c>
      <c r="AO197" s="142">
        <v>0</v>
      </c>
      <c r="AP197" s="142">
        <v>0</v>
      </c>
      <c r="AQ197" s="142">
        <v>0</v>
      </c>
      <c r="AR197" s="142">
        <v>0</v>
      </c>
      <c r="AS197" s="142">
        <v>0</v>
      </c>
      <c r="AT197" s="142">
        <v>0</v>
      </c>
      <c r="AU197" s="142">
        <v>0</v>
      </c>
      <c r="AV197" s="142">
        <v>0</v>
      </c>
      <c r="AW197" s="142">
        <v>0</v>
      </c>
    </row>
    <row r="198" spans="18:49" x14ac:dyDescent="0.25">
      <c r="R198" s="141">
        <f t="shared" si="3"/>
        <v>3187.2861049828853</v>
      </c>
      <c r="S198" s="142">
        <v>0</v>
      </c>
      <c r="T198" s="142">
        <v>0</v>
      </c>
      <c r="U198" s="142">
        <v>0</v>
      </c>
      <c r="V198" s="142">
        <v>0</v>
      </c>
      <c r="W198" s="142">
        <v>0</v>
      </c>
      <c r="X198" s="142">
        <v>0</v>
      </c>
      <c r="Y198" s="142">
        <v>0</v>
      </c>
      <c r="Z198" s="142">
        <v>0</v>
      </c>
      <c r="AA198" s="142">
        <v>0</v>
      </c>
      <c r="AB198" s="142">
        <v>0</v>
      </c>
      <c r="AC198" s="142">
        <v>0</v>
      </c>
      <c r="AD198" s="142">
        <v>0</v>
      </c>
      <c r="AE198" s="142">
        <v>0</v>
      </c>
      <c r="AF198" s="142">
        <v>0</v>
      </c>
      <c r="AG198" s="142">
        <v>0</v>
      </c>
      <c r="AH198" s="142">
        <v>0</v>
      </c>
      <c r="AI198" s="142">
        <v>0</v>
      </c>
      <c r="AJ198" s="142">
        <v>0</v>
      </c>
      <c r="AK198" s="142">
        <v>0</v>
      </c>
      <c r="AL198" s="142">
        <v>0</v>
      </c>
      <c r="AM198" s="142">
        <v>0</v>
      </c>
      <c r="AN198" s="142">
        <v>0</v>
      </c>
      <c r="AO198" s="142">
        <v>0</v>
      </c>
      <c r="AP198" s="142">
        <v>0</v>
      </c>
      <c r="AQ198" s="142">
        <v>0</v>
      </c>
      <c r="AR198" s="142">
        <v>0</v>
      </c>
      <c r="AS198" s="142">
        <v>0</v>
      </c>
      <c r="AT198" s="142">
        <v>0</v>
      </c>
      <c r="AU198" s="142">
        <v>0</v>
      </c>
      <c r="AV198" s="142">
        <v>0</v>
      </c>
      <c r="AW198" s="142">
        <v>0</v>
      </c>
    </row>
    <row r="199" spans="18:49" x14ac:dyDescent="0.25">
      <c r="R199" s="141">
        <f t="shared" si="3"/>
        <v>3244.2019282861506</v>
      </c>
      <c r="S199" s="142">
        <v>0</v>
      </c>
      <c r="T199" s="142">
        <v>0</v>
      </c>
      <c r="U199" s="142">
        <v>0</v>
      </c>
      <c r="V199" s="142">
        <v>0</v>
      </c>
      <c r="W199" s="142">
        <v>0</v>
      </c>
      <c r="X199" s="142">
        <v>0</v>
      </c>
      <c r="Y199" s="142">
        <v>0</v>
      </c>
      <c r="Z199" s="142">
        <v>0</v>
      </c>
      <c r="AA199" s="142">
        <v>0</v>
      </c>
      <c r="AB199" s="142">
        <v>0</v>
      </c>
      <c r="AC199" s="142">
        <v>0</v>
      </c>
      <c r="AD199" s="142">
        <v>0</v>
      </c>
      <c r="AE199" s="142">
        <v>0</v>
      </c>
      <c r="AF199" s="142">
        <v>0</v>
      </c>
      <c r="AG199" s="142">
        <v>0</v>
      </c>
      <c r="AH199" s="142">
        <v>0</v>
      </c>
      <c r="AI199" s="142">
        <v>0</v>
      </c>
      <c r="AJ199" s="142">
        <v>0</v>
      </c>
      <c r="AK199" s="142">
        <v>0</v>
      </c>
      <c r="AL199" s="142">
        <v>0</v>
      </c>
      <c r="AM199" s="142">
        <v>0</v>
      </c>
      <c r="AN199" s="142">
        <v>0</v>
      </c>
      <c r="AO199" s="142">
        <v>0</v>
      </c>
      <c r="AP199" s="142">
        <v>0</v>
      </c>
      <c r="AQ199" s="142">
        <v>0</v>
      </c>
      <c r="AR199" s="142">
        <v>0</v>
      </c>
      <c r="AS199" s="142">
        <v>0</v>
      </c>
      <c r="AT199" s="142">
        <v>0</v>
      </c>
      <c r="AU199" s="142">
        <v>0</v>
      </c>
      <c r="AV199" s="142">
        <v>0</v>
      </c>
      <c r="AW199" s="142">
        <v>0</v>
      </c>
    </row>
    <row r="200" spans="18:49" x14ac:dyDescent="0.25">
      <c r="R200" s="141">
        <f t="shared" si="3"/>
        <v>3301.1177515894169</v>
      </c>
      <c r="S200" s="142">
        <v>0</v>
      </c>
      <c r="T200" s="142">
        <v>0</v>
      </c>
      <c r="U200" s="142">
        <v>0</v>
      </c>
      <c r="V200" s="142">
        <v>0</v>
      </c>
      <c r="W200" s="142">
        <v>0</v>
      </c>
      <c r="X200" s="142">
        <v>0</v>
      </c>
      <c r="Y200" s="142">
        <v>0</v>
      </c>
      <c r="Z200" s="142">
        <v>0</v>
      </c>
      <c r="AA200" s="142">
        <v>0</v>
      </c>
      <c r="AB200" s="142">
        <v>0</v>
      </c>
      <c r="AC200" s="142">
        <v>0</v>
      </c>
      <c r="AD200" s="142">
        <v>0</v>
      </c>
      <c r="AE200" s="142">
        <v>0</v>
      </c>
      <c r="AF200" s="142">
        <v>0</v>
      </c>
      <c r="AG200" s="142">
        <v>0</v>
      </c>
      <c r="AH200" s="142">
        <v>0</v>
      </c>
      <c r="AI200" s="142">
        <v>0</v>
      </c>
      <c r="AJ200" s="142">
        <v>0</v>
      </c>
      <c r="AK200" s="142">
        <v>0</v>
      </c>
      <c r="AL200" s="142">
        <v>0</v>
      </c>
      <c r="AM200" s="142">
        <v>0</v>
      </c>
      <c r="AN200" s="142">
        <v>0</v>
      </c>
      <c r="AO200" s="142">
        <v>0</v>
      </c>
      <c r="AP200" s="142">
        <v>0</v>
      </c>
      <c r="AQ200" s="142">
        <v>0</v>
      </c>
      <c r="AR200" s="142">
        <v>0</v>
      </c>
      <c r="AS200" s="142">
        <v>0</v>
      </c>
      <c r="AT200" s="142">
        <v>0</v>
      </c>
      <c r="AU200" s="142">
        <v>0</v>
      </c>
      <c r="AV200" s="142">
        <v>0</v>
      </c>
      <c r="AW200" s="142">
        <v>0</v>
      </c>
    </row>
    <row r="201" spans="18:49" x14ac:dyDescent="0.25">
      <c r="R201" s="141">
        <f t="shared" si="3"/>
        <v>3358.0335748926823</v>
      </c>
      <c r="S201" s="142">
        <v>0</v>
      </c>
      <c r="T201" s="142">
        <v>0</v>
      </c>
      <c r="U201" s="142">
        <v>0</v>
      </c>
      <c r="V201" s="142">
        <v>0</v>
      </c>
      <c r="W201" s="142">
        <v>0</v>
      </c>
      <c r="X201" s="142">
        <v>0</v>
      </c>
      <c r="Y201" s="142">
        <v>0</v>
      </c>
      <c r="Z201" s="142">
        <v>0</v>
      </c>
      <c r="AA201" s="142">
        <v>0</v>
      </c>
      <c r="AB201" s="142">
        <v>0</v>
      </c>
      <c r="AC201" s="142">
        <v>0</v>
      </c>
      <c r="AD201" s="142">
        <v>0</v>
      </c>
      <c r="AE201" s="142">
        <v>0</v>
      </c>
      <c r="AF201" s="142">
        <v>0</v>
      </c>
      <c r="AG201" s="142">
        <v>0</v>
      </c>
      <c r="AH201" s="142">
        <v>0</v>
      </c>
      <c r="AI201" s="142">
        <v>0</v>
      </c>
      <c r="AJ201" s="142">
        <v>0</v>
      </c>
      <c r="AK201" s="142">
        <v>0</v>
      </c>
      <c r="AL201" s="142">
        <v>0</v>
      </c>
      <c r="AM201" s="142">
        <v>0</v>
      </c>
      <c r="AN201" s="142">
        <v>0</v>
      </c>
      <c r="AO201" s="142">
        <v>0</v>
      </c>
      <c r="AP201" s="142">
        <v>0</v>
      </c>
      <c r="AQ201" s="142">
        <v>0</v>
      </c>
      <c r="AR201" s="142">
        <v>0</v>
      </c>
      <c r="AS201" s="142">
        <v>0</v>
      </c>
      <c r="AT201" s="142">
        <v>0</v>
      </c>
      <c r="AU201" s="142">
        <v>0</v>
      </c>
      <c r="AV201" s="142">
        <v>0</v>
      </c>
      <c r="AW201" s="142">
        <v>0</v>
      </c>
    </row>
    <row r="202" spans="18:49" x14ac:dyDescent="0.25">
      <c r="R202" s="141">
        <f t="shared" si="3"/>
        <v>3500</v>
      </c>
      <c r="S202" s="142"/>
      <c r="T202" s="142"/>
      <c r="U202" s="142"/>
      <c r="V202" s="142"/>
      <c r="W202" s="142"/>
      <c r="X202" s="142"/>
      <c r="Y202" s="142"/>
      <c r="Z202" s="142"/>
      <c r="AA202" s="142"/>
      <c r="AB202" s="142"/>
      <c r="AC202" s="142"/>
      <c r="AD202" s="142"/>
      <c r="AE202" s="142"/>
      <c r="AF202" s="142"/>
      <c r="AG202" s="142"/>
      <c r="AH202" s="142"/>
      <c r="AI202" s="142"/>
      <c r="AJ202" s="142"/>
      <c r="AK202" s="142"/>
      <c r="AL202" s="142"/>
      <c r="AM202" s="142"/>
      <c r="AN202" s="142"/>
      <c r="AO202" s="142"/>
      <c r="AP202" s="142"/>
      <c r="AQ202" s="142"/>
      <c r="AR202" s="142"/>
      <c r="AS202" s="142"/>
      <c r="AT202" s="142"/>
      <c r="AU202" s="142"/>
      <c r="AV202" s="142"/>
      <c r="AW202" s="142"/>
    </row>
    <row r="209" spans="17:49" x14ac:dyDescent="0.25">
      <c r="Q209" t="s">
        <v>358</v>
      </c>
    </row>
    <row r="210" spans="17:49" x14ac:dyDescent="0.25">
      <c r="Q210" s="14" t="s">
        <v>357</v>
      </c>
      <c r="R210" s="139"/>
      <c r="S210" t="s">
        <v>288</v>
      </c>
    </row>
    <row r="211" spans="17:49" x14ac:dyDescent="0.25">
      <c r="R211" s="141"/>
      <c r="S211" s="146">
        <f>S70</f>
        <v>0</v>
      </c>
      <c r="T211" s="146">
        <f t="shared" ref="T211:AW211" si="4">T70</f>
        <v>0.54861937440778163</v>
      </c>
      <c r="U211" s="146">
        <f t="shared" si="4"/>
        <v>1.2215284824543391</v>
      </c>
      <c r="V211" s="146">
        <f t="shared" si="4"/>
        <v>1.8944375905008966</v>
      </c>
      <c r="W211" s="146">
        <f t="shared" si="4"/>
        <v>2.5673466985474538</v>
      </c>
      <c r="X211" s="146">
        <f t="shared" si="4"/>
        <v>3.240255806594011</v>
      </c>
      <c r="Y211" s="146">
        <f t="shared" si="4"/>
        <v>3.9131649146405678</v>
      </c>
      <c r="Z211" s="146">
        <f t="shared" si="4"/>
        <v>4.5860740226871259</v>
      </c>
      <c r="AA211" s="146">
        <f t="shared" si="4"/>
        <v>5.2589831307336823</v>
      </c>
      <c r="AB211" s="146">
        <f t="shared" si="4"/>
        <v>5.9298016445403494</v>
      </c>
      <c r="AC211" s="146">
        <f t="shared" si="4"/>
        <v>6.5910900552124971</v>
      </c>
      <c r="AD211" s="146">
        <f t="shared" si="4"/>
        <v>7.2421904817248244</v>
      </c>
      <c r="AE211" s="146">
        <f t="shared" si="4"/>
        <v>7.8831029240773267</v>
      </c>
      <c r="AF211" s="146">
        <f t="shared" si="4"/>
        <v>8.5138273822700103</v>
      </c>
      <c r="AG211" s="146">
        <f t="shared" si="4"/>
        <v>9.1343638563028691</v>
      </c>
      <c r="AH211" s="146">
        <f t="shared" si="4"/>
        <v>9.7447123461759038</v>
      </c>
      <c r="AI211" s="146">
        <f t="shared" si="4"/>
        <v>10.344872851889122</v>
      </c>
      <c r="AJ211" s="146">
        <f t="shared" si="4"/>
        <v>10.934884056391423</v>
      </c>
      <c r="AK211" s="146">
        <f t="shared" si="4"/>
        <v>11.516198138590029</v>
      </c>
      <c r="AL211" s="146">
        <f t="shared" si="4"/>
        <v>12.089552858163778</v>
      </c>
      <c r="AM211" s="146">
        <f t="shared" si="4"/>
        <v>12.654948215112661</v>
      </c>
      <c r="AN211" s="146">
        <f t="shared" si="4"/>
        <v>13.212384209436692</v>
      </c>
      <c r="AO211" s="146">
        <f t="shared" si="4"/>
        <v>13.761860841135855</v>
      </c>
      <c r="AP211" s="146">
        <f t="shared" si="4"/>
        <v>14.303378110210154</v>
      </c>
      <c r="AQ211" s="146">
        <f t="shared" si="4"/>
        <v>14.836936016659598</v>
      </c>
      <c r="AR211" s="146">
        <f t="shared" si="4"/>
        <v>15.362534560484178</v>
      </c>
      <c r="AS211" s="146">
        <f t="shared" si="4"/>
        <v>15.880173741683901</v>
      </c>
      <c r="AT211" s="146">
        <f t="shared" si="4"/>
        <v>16.389853560258761</v>
      </c>
      <c r="AU211" s="146">
        <f t="shared" si="4"/>
        <v>16.891574016208757</v>
      </c>
      <c r="AV211" s="146">
        <f t="shared" si="4"/>
        <v>17.385335109533898</v>
      </c>
      <c r="AW211" s="146">
        <f t="shared" si="4"/>
        <v>17.871136840234175</v>
      </c>
    </row>
    <row r="212" spans="17:49" x14ac:dyDescent="0.25">
      <c r="Q212" t="s">
        <v>287</v>
      </c>
      <c r="R212" s="141">
        <f>R3</f>
        <v>0</v>
      </c>
      <c r="S212" s="142"/>
      <c r="T212" s="142"/>
      <c r="U212" s="142"/>
      <c r="V212" s="142"/>
      <c r="W212" s="142"/>
      <c r="X212" s="142"/>
      <c r="Y212" s="142"/>
      <c r="Z212" s="142"/>
      <c r="AA212" s="142"/>
      <c r="AB212" s="142"/>
      <c r="AC212" s="142"/>
      <c r="AD212" s="142"/>
      <c r="AE212" s="142"/>
      <c r="AF212" s="142"/>
      <c r="AG212" s="142"/>
      <c r="AH212" s="142"/>
      <c r="AI212" s="142"/>
      <c r="AJ212" s="142"/>
      <c r="AK212" s="142"/>
      <c r="AL212" s="142"/>
      <c r="AM212" s="142"/>
      <c r="AN212" s="142"/>
      <c r="AO212" s="142"/>
      <c r="AP212" s="142"/>
      <c r="AQ212" s="142"/>
      <c r="AR212" s="142"/>
      <c r="AS212" s="142"/>
      <c r="AT212" s="142"/>
      <c r="AU212" s="142"/>
      <c r="AV212" s="142"/>
      <c r="AW212" s="142"/>
    </row>
    <row r="213" spans="17:49" x14ac:dyDescent="0.25">
      <c r="R213" s="141">
        <f t="shared" ref="R213:R272" si="5">R4</f>
        <v>56.915823303265803</v>
      </c>
      <c r="S213" s="142">
        <v>0</v>
      </c>
      <c r="T213" s="142">
        <v>0</v>
      </c>
      <c r="U213" s="142">
        <v>0</v>
      </c>
      <c r="V213" s="142">
        <v>0</v>
      </c>
      <c r="W213" s="142">
        <v>0</v>
      </c>
      <c r="X213" s="142">
        <v>0</v>
      </c>
      <c r="Y213" s="142">
        <v>0</v>
      </c>
      <c r="Z213" s="142">
        <v>0</v>
      </c>
      <c r="AA213" s="142">
        <v>0</v>
      </c>
      <c r="AB213" s="142">
        <v>0</v>
      </c>
      <c r="AC213" s="142">
        <v>0</v>
      </c>
      <c r="AD213" s="142">
        <v>0</v>
      </c>
      <c r="AE213" s="142">
        <v>0</v>
      </c>
      <c r="AF213" s="142">
        <v>0</v>
      </c>
      <c r="AG213" s="142">
        <v>0</v>
      </c>
      <c r="AH213" s="142">
        <v>0</v>
      </c>
      <c r="AI213" s="142">
        <v>0</v>
      </c>
      <c r="AJ213" s="142">
        <v>0</v>
      </c>
      <c r="AK213" s="142">
        <v>0</v>
      </c>
      <c r="AL213" s="142">
        <v>0</v>
      </c>
      <c r="AM213" s="142">
        <v>0</v>
      </c>
      <c r="AN213" s="142">
        <v>0</v>
      </c>
      <c r="AO213" s="142">
        <v>0</v>
      </c>
      <c r="AP213" s="142">
        <v>0</v>
      </c>
      <c r="AQ213" s="142">
        <v>0</v>
      </c>
      <c r="AR213" s="142">
        <v>0</v>
      </c>
      <c r="AS213" s="142">
        <v>0</v>
      </c>
      <c r="AT213" s="142">
        <v>0</v>
      </c>
      <c r="AU213" s="142">
        <v>0</v>
      </c>
      <c r="AV213" s="142">
        <v>0</v>
      </c>
      <c r="AW213" s="142">
        <v>0</v>
      </c>
    </row>
    <row r="214" spans="17:49" x14ac:dyDescent="0.25">
      <c r="R214" s="141">
        <f t="shared" si="5"/>
        <v>113.83164660653161</v>
      </c>
      <c r="S214" s="142">
        <v>0</v>
      </c>
      <c r="T214" s="142">
        <v>0</v>
      </c>
      <c r="U214" s="142">
        <v>0</v>
      </c>
      <c r="V214" s="142">
        <v>0</v>
      </c>
      <c r="W214" s="142">
        <v>0</v>
      </c>
      <c r="X214" s="142">
        <v>0</v>
      </c>
      <c r="Y214" s="142">
        <v>0</v>
      </c>
      <c r="Z214" s="142">
        <v>0</v>
      </c>
      <c r="AA214" s="142">
        <v>0</v>
      </c>
      <c r="AB214" s="142">
        <v>0</v>
      </c>
      <c r="AC214" s="142">
        <v>0</v>
      </c>
      <c r="AD214" s="142">
        <v>0</v>
      </c>
      <c r="AE214" s="142">
        <v>0</v>
      </c>
      <c r="AF214" s="142">
        <v>0</v>
      </c>
      <c r="AG214" s="142">
        <v>0</v>
      </c>
      <c r="AH214" s="142">
        <v>0</v>
      </c>
      <c r="AI214" s="142">
        <v>0</v>
      </c>
      <c r="AJ214" s="142">
        <v>0</v>
      </c>
      <c r="AK214" s="142">
        <v>0</v>
      </c>
      <c r="AL214" s="142">
        <v>0</v>
      </c>
      <c r="AM214" s="142">
        <v>0</v>
      </c>
      <c r="AN214" s="142">
        <v>0</v>
      </c>
      <c r="AO214" s="142">
        <v>0</v>
      </c>
      <c r="AP214" s="142">
        <v>0</v>
      </c>
      <c r="AQ214" s="142">
        <v>0</v>
      </c>
      <c r="AR214" s="142">
        <v>0</v>
      </c>
      <c r="AS214" s="142">
        <v>0</v>
      </c>
      <c r="AT214" s="142">
        <v>0</v>
      </c>
      <c r="AU214" s="142">
        <v>0</v>
      </c>
      <c r="AV214" s="142">
        <v>0</v>
      </c>
      <c r="AW214" s="142">
        <v>0</v>
      </c>
    </row>
    <row r="215" spans="17:49" x14ac:dyDescent="0.25">
      <c r="R215" s="141">
        <f t="shared" si="5"/>
        <v>170.74746990979745</v>
      </c>
      <c r="S215" s="142">
        <v>0</v>
      </c>
      <c r="T215" s="142">
        <v>0</v>
      </c>
      <c r="U215" s="142">
        <v>0</v>
      </c>
      <c r="V215" s="142">
        <v>0</v>
      </c>
      <c r="W215" s="142">
        <v>0</v>
      </c>
      <c r="X215" s="142">
        <v>0</v>
      </c>
      <c r="Y215" s="142">
        <v>0</v>
      </c>
      <c r="Z215" s="142">
        <v>0</v>
      </c>
      <c r="AA215" s="142">
        <v>0</v>
      </c>
      <c r="AB215" s="142">
        <v>0</v>
      </c>
      <c r="AC215" s="142">
        <v>0</v>
      </c>
      <c r="AD215" s="142">
        <v>0</v>
      </c>
      <c r="AE215" s="142">
        <v>0</v>
      </c>
      <c r="AF215" s="142">
        <v>0</v>
      </c>
      <c r="AG215" s="142">
        <v>0</v>
      </c>
      <c r="AH215" s="142">
        <v>0</v>
      </c>
      <c r="AI215" s="142">
        <v>0</v>
      </c>
      <c r="AJ215" s="142">
        <v>0</v>
      </c>
      <c r="AK215" s="142">
        <v>0</v>
      </c>
      <c r="AL215" s="142">
        <v>0</v>
      </c>
      <c r="AM215" s="142">
        <v>0</v>
      </c>
      <c r="AN215" s="142">
        <v>0</v>
      </c>
      <c r="AO215" s="142">
        <v>0</v>
      </c>
      <c r="AP215" s="142">
        <v>0</v>
      </c>
      <c r="AQ215" s="142">
        <v>0</v>
      </c>
      <c r="AR215" s="142">
        <v>0</v>
      </c>
      <c r="AS215" s="142">
        <v>0</v>
      </c>
      <c r="AT215" s="142">
        <v>0</v>
      </c>
      <c r="AU215" s="142">
        <v>0</v>
      </c>
      <c r="AV215" s="142">
        <v>0</v>
      </c>
      <c r="AW215" s="142">
        <v>0</v>
      </c>
    </row>
    <row r="216" spans="17:49" x14ac:dyDescent="0.25">
      <c r="R216" s="141">
        <f t="shared" si="5"/>
        <v>227.66329321306321</v>
      </c>
      <c r="S216" s="142">
        <v>0</v>
      </c>
      <c r="T216" s="142">
        <v>0</v>
      </c>
      <c r="U216" s="142">
        <v>0</v>
      </c>
      <c r="V216" s="142">
        <v>0</v>
      </c>
      <c r="W216" s="142">
        <v>0</v>
      </c>
      <c r="X216" s="142">
        <v>0</v>
      </c>
      <c r="Y216" s="142">
        <v>0</v>
      </c>
      <c r="Z216" s="142">
        <v>0</v>
      </c>
      <c r="AA216" s="142">
        <v>0</v>
      </c>
      <c r="AB216" s="142">
        <v>0</v>
      </c>
      <c r="AC216" s="142">
        <v>0</v>
      </c>
      <c r="AD216" s="142">
        <v>0</v>
      </c>
      <c r="AE216" s="142">
        <v>0</v>
      </c>
      <c r="AF216" s="142">
        <v>0</v>
      </c>
      <c r="AG216" s="142">
        <v>0</v>
      </c>
      <c r="AH216" s="142">
        <v>0</v>
      </c>
      <c r="AI216" s="142">
        <v>0</v>
      </c>
      <c r="AJ216" s="142">
        <v>0</v>
      </c>
      <c r="AK216" s="142">
        <v>0</v>
      </c>
      <c r="AL216" s="142">
        <v>0</v>
      </c>
      <c r="AM216" s="142">
        <v>0</v>
      </c>
      <c r="AN216" s="142">
        <v>0</v>
      </c>
      <c r="AO216" s="142">
        <v>0</v>
      </c>
      <c r="AP216" s="142">
        <v>0</v>
      </c>
      <c r="AQ216" s="142">
        <v>0</v>
      </c>
      <c r="AR216" s="142">
        <v>0</v>
      </c>
      <c r="AS216" s="142">
        <v>0</v>
      </c>
      <c r="AT216" s="142">
        <v>0</v>
      </c>
      <c r="AU216" s="142">
        <v>0</v>
      </c>
      <c r="AV216" s="142">
        <v>0</v>
      </c>
      <c r="AW216" s="142">
        <v>0</v>
      </c>
    </row>
    <row r="217" spans="17:49" x14ac:dyDescent="0.25">
      <c r="R217" s="141">
        <f t="shared" si="5"/>
        <v>284.57911651632901</v>
      </c>
      <c r="S217" s="142">
        <v>0</v>
      </c>
      <c r="T217" s="142">
        <v>0</v>
      </c>
      <c r="U217" s="142">
        <v>0</v>
      </c>
      <c r="V217" s="142">
        <v>0</v>
      </c>
      <c r="W217" s="142">
        <v>0</v>
      </c>
      <c r="X217" s="142">
        <v>0</v>
      </c>
      <c r="Y217" s="142">
        <v>0</v>
      </c>
      <c r="Z217" s="142">
        <v>0</v>
      </c>
      <c r="AA217" s="142">
        <v>0</v>
      </c>
      <c r="AB217" s="142">
        <v>0</v>
      </c>
      <c r="AC217" s="142">
        <v>0</v>
      </c>
      <c r="AD217" s="142">
        <v>0</v>
      </c>
      <c r="AE217" s="142">
        <v>0</v>
      </c>
      <c r="AF217" s="142">
        <v>0</v>
      </c>
      <c r="AG217" s="142">
        <v>0</v>
      </c>
      <c r="AH217" s="142">
        <v>0</v>
      </c>
      <c r="AI217" s="142">
        <v>0</v>
      </c>
      <c r="AJ217" s="142">
        <v>0</v>
      </c>
      <c r="AK217" s="142">
        <v>0</v>
      </c>
      <c r="AL217" s="142">
        <v>0</v>
      </c>
      <c r="AM217" s="142">
        <v>0</v>
      </c>
      <c r="AN217" s="142">
        <v>0</v>
      </c>
      <c r="AO217" s="142">
        <v>0</v>
      </c>
      <c r="AP217" s="142">
        <v>0</v>
      </c>
      <c r="AQ217" s="142">
        <v>0</v>
      </c>
      <c r="AR217" s="142">
        <v>0</v>
      </c>
      <c r="AS217" s="142">
        <v>0</v>
      </c>
      <c r="AT217" s="142">
        <v>0</v>
      </c>
      <c r="AU217" s="142">
        <v>0</v>
      </c>
      <c r="AV217" s="142">
        <v>0</v>
      </c>
      <c r="AW217" s="142">
        <v>0</v>
      </c>
    </row>
    <row r="218" spans="17:49" x14ac:dyDescent="0.25">
      <c r="R218" s="141">
        <f t="shared" si="5"/>
        <v>341.49493981959489</v>
      </c>
      <c r="S218" s="142">
        <v>0</v>
      </c>
      <c r="T218" s="142">
        <v>0</v>
      </c>
      <c r="U218" s="142">
        <v>0</v>
      </c>
      <c r="V218" s="142">
        <v>0</v>
      </c>
      <c r="W218" s="142">
        <v>0</v>
      </c>
      <c r="X218" s="142">
        <v>0</v>
      </c>
      <c r="Y218" s="142">
        <v>0</v>
      </c>
      <c r="Z218" s="142">
        <v>0</v>
      </c>
      <c r="AA218" s="142">
        <v>0</v>
      </c>
      <c r="AB218" s="142">
        <v>0</v>
      </c>
      <c r="AC218" s="142">
        <v>0</v>
      </c>
      <c r="AD218" s="142">
        <v>0</v>
      </c>
      <c r="AE218" s="142">
        <v>0</v>
      </c>
      <c r="AF218" s="142">
        <v>0</v>
      </c>
      <c r="AG218" s="142">
        <v>0</v>
      </c>
      <c r="AH218" s="142">
        <v>0</v>
      </c>
      <c r="AI218" s="142">
        <v>0</v>
      </c>
      <c r="AJ218" s="142">
        <v>0</v>
      </c>
      <c r="AK218" s="142">
        <v>0</v>
      </c>
      <c r="AL218" s="142">
        <v>0</v>
      </c>
      <c r="AM218" s="142">
        <v>0</v>
      </c>
      <c r="AN218" s="142">
        <v>0</v>
      </c>
      <c r="AO218" s="142">
        <v>0</v>
      </c>
      <c r="AP218" s="142">
        <v>0</v>
      </c>
      <c r="AQ218" s="142">
        <v>0</v>
      </c>
      <c r="AR218" s="142">
        <v>0</v>
      </c>
      <c r="AS218" s="142">
        <v>0</v>
      </c>
      <c r="AT218" s="142">
        <v>0</v>
      </c>
      <c r="AU218" s="142">
        <v>0</v>
      </c>
      <c r="AV218" s="142">
        <v>0</v>
      </c>
      <c r="AW218" s="142">
        <v>0</v>
      </c>
    </row>
    <row r="219" spans="17:49" x14ac:dyDescent="0.25">
      <c r="R219" s="141">
        <f t="shared" si="5"/>
        <v>398.41076312286066</v>
      </c>
      <c r="S219" s="142">
        <v>0</v>
      </c>
      <c r="T219" s="142">
        <v>0</v>
      </c>
      <c r="U219" s="142">
        <v>0</v>
      </c>
      <c r="V219" s="142">
        <v>0</v>
      </c>
      <c r="W219" s="142">
        <v>0</v>
      </c>
      <c r="X219" s="142">
        <v>0</v>
      </c>
      <c r="Y219" s="142">
        <v>0</v>
      </c>
      <c r="Z219" s="142">
        <v>0</v>
      </c>
      <c r="AA219" s="142">
        <v>0</v>
      </c>
      <c r="AB219" s="142">
        <v>0</v>
      </c>
      <c r="AC219" s="142">
        <v>0</v>
      </c>
      <c r="AD219" s="142">
        <v>0</v>
      </c>
      <c r="AE219" s="142">
        <v>0</v>
      </c>
      <c r="AF219" s="142">
        <v>0</v>
      </c>
      <c r="AG219" s="142">
        <v>0</v>
      </c>
      <c r="AH219" s="142">
        <v>0</v>
      </c>
      <c r="AI219" s="142">
        <v>0</v>
      </c>
      <c r="AJ219" s="142">
        <v>0</v>
      </c>
      <c r="AK219" s="142">
        <v>0</v>
      </c>
      <c r="AL219" s="142">
        <v>0</v>
      </c>
      <c r="AM219" s="142">
        <v>0</v>
      </c>
      <c r="AN219" s="142">
        <v>0</v>
      </c>
      <c r="AO219" s="142">
        <v>0</v>
      </c>
      <c r="AP219" s="142">
        <v>0</v>
      </c>
      <c r="AQ219" s="142">
        <v>0</v>
      </c>
      <c r="AR219" s="142">
        <v>0</v>
      </c>
      <c r="AS219" s="142">
        <v>0</v>
      </c>
      <c r="AT219" s="142">
        <v>0</v>
      </c>
      <c r="AU219" s="142">
        <v>0</v>
      </c>
      <c r="AV219" s="142">
        <v>0</v>
      </c>
      <c r="AW219" s="142">
        <v>0</v>
      </c>
    </row>
    <row r="220" spans="17:49" x14ac:dyDescent="0.25">
      <c r="R220" s="141">
        <f t="shared" si="5"/>
        <v>455.32658642612643</v>
      </c>
      <c r="S220" s="142">
        <v>0</v>
      </c>
      <c r="T220" s="142">
        <v>0</v>
      </c>
      <c r="U220" s="142">
        <v>0</v>
      </c>
      <c r="V220" s="142">
        <v>0</v>
      </c>
      <c r="W220" s="142">
        <v>0</v>
      </c>
      <c r="X220" s="142">
        <v>0</v>
      </c>
      <c r="Y220" s="142">
        <v>0</v>
      </c>
      <c r="Z220" s="142">
        <v>0</v>
      </c>
      <c r="AA220" s="142">
        <v>0</v>
      </c>
      <c r="AB220" s="142">
        <v>0</v>
      </c>
      <c r="AC220" s="142">
        <v>0</v>
      </c>
      <c r="AD220" s="142">
        <v>0</v>
      </c>
      <c r="AE220" s="142">
        <v>0</v>
      </c>
      <c r="AF220" s="142">
        <v>0</v>
      </c>
      <c r="AG220" s="142">
        <v>0</v>
      </c>
      <c r="AH220" s="142">
        <v>0</v>
      </c>
      <c r="AI220" s="142">
        <v>0</v>
      </c>
      <c r="AJ220" s="142">
        <v>0</v>
      </c>
      <c r="AK220" s="142">
        <v>0</v>
      </c>
      <c r="AL220" s="142">
        <v>0</v>
      </c>
      <c r="AM220" s="142">
        <v>0</v>
      </c>
      <c r="AN220" s="142">
        <v>0</v>
      </c>
      <c r="AO220" s="142">
        <v>0</v>
      </c>
      <c r="AP220" s="142">
        <v>0</v>
      </c>
      <c r="AQ220" s="142">
        <v>0</v>
      </c>
      <c r="AR220" s="142">
        <v>0</v>
      </c>
      <c r="AS220" s="142">
        <v>0</v>
      </c>
      <c r="AT220" s="142">
        <v>0</v>
      </c>
      <c r="AU220" s="142">
        <v>0</v>
      </c>
      <c r="AV220" s="142">
        <v>0</v>
      </c>
      <c r="AW220" s="142">
        <v>0</v>
      </c>
    </row>
    <row r="221" spans="17:49" x14ac:dyDescent="0.25">
      <c r="R221" s="141">
        <f t="shared" si="5"/>
        <v>512.24240972939231</v>
      </c>
      <c r="S221" s="142">
        <v>0</v>
      </c>
      <c r="T221" s="142">
        <v>0</v>
      </c>
      <c r="U221" s="142">
        <v>0</v>
      </c>
      <c r="V221" s="142">
        <v>0</v>
      </c>
      <c r="W221" s="142">
        <v>0</v>
      </c>
      <c r="X221" s="142">
        <v>0</v>
      </c>
      <c r="Y221" s="142">
        <v>0</v>
      </c>
      <c r="Z221" s="142">
        <v>0</v>
      </c>
      <c r="AA221" s="142">
        <v>0</v>
      </c>
      <c r="AB221" s="142">
        <v>0</v>
      </c>
      <c r="AC221" s="142">
        <v>0</v>
      </c>
      <c r="AD221" s="142">
        <v>0</v>
      </c>
      <c r="AE221" s="142">
        <v>0</v>
      </c>
      <c r="AF221" s="142">
        <v>0</v>
      </c>
      <c r="AG221" s="142">
        <v>0</v>
      </c>
      <c r="AH221" s="142">
        <v>0</v>
      </c>
      <c r="AI221" s="142">
        <v>0</v>
      </c>
      <c r="AJ221" s="142">
        <v>0</v>
      </c>
      <c r="AK221" s="142">
        <v>0</v>
      </c>
      <c r="AL221" s="142">
        <v>0</v>
      </c>
      <c r="AM221" s="142">
        <v>0</v>
      </c>
      <c r="AN221" s="142">
        <v>0</v>
      </c>
      <c r="AO221" s="142">
        <v>0</v>
      </c>
      <c r="AP221" s="142">
        <v>0</v>
      </c>
      <c r="AQ221" s="142">
        <v>0</v>
      </c>
      <c r="AR221" s="142">
        <v>0</v>
      </c>
      <c r="AS221" s="142">
        <v>0</v>
      </c>
      <c r="AT221" s="142">
        <v>0</v>
      </c>
      <c r="AU221" s="142">
        <v>0</v>
      </c>
      <c r="AV221" s="142">
        <v>0</v>
      </c>
      <c r="AW221" s="142">
        <v>0</v>
      </c>
    </row>
    <row r="222" spans="17:49" x14ac:dyDescent="0.25">
      <c r="R222" s="141">
        <f t="shared" si="5"/>
        <v>569.15823303265802</v>
      </c>
      <c r="S222" s="142">
        <v>0</v>
      </c>
      <c r="T222" s="142">
        <v>0</v>
      </c>
      <c r="U222" s="142">
        <v>0</v>
      </c>
      <c r="V222" s="142">
        <v>0</v>
      </c>
      <c r="W222" s="142">
        <v>0</v>
      </c>
      <c r="X222" s="142">
        <v>0</v>
      </c>
      <c r="Y222" s="142">
        <v>0</v>
      </c>
      <c r="Z222" s="142">
        <v>0</v>
      </c>
      <c r="AA222" s="142">
        <v>0</v>
      </c>
      <c r="AB222" s="142">
        <v>0</v>
      </c>
      <c r="AC222" s="142">
        <v>0</v>
      </c>
      <c r="AD222" s="142">
        <v>0</v>
      </c>
      <c r="AE222" s="142">
        <v>0</v>
      </c>
      <c r="AF222" s="142">
        <v>0</v>
      </c>
      <c r="AG222" s="142">
        <v>0</v>
      </c>
      <c r="AH222" s="142">
        <v>0</v>
      </c>
      <c r="AI222" s="142">
        <v>0</v>
      </c>
      <c r="AJ222" s="142">
        <v>0</v>
      </c>
      <c r="AK222" s="142">
        <v>0</v>
      </c>
      <c r="AL222" s="142">
        <v>0</v>
      </c>
      <c r="AM222" s="142">
        <v>0</v>
      </c>
      <c r="AN222" s="142">
        <v>0</v>
      </c>
      <c r="AO222" s="142">
        <v>0</v>
      </c>
      <c r="AP222" s="142">
        <v>0</v>
      </c>
      <c r="AQ222" s="142">
        <v>0</v>
      </c>
      <c r="AR222" s="142">
        <v>0</v>
      </c>
      <c r="AS222" s="142">
        <v>0</v>
      </c>
      <c r="AT222" s="142">
        <v>0</v>
      </c>
      <c r="AU222" s="142">
        <v>0</v>
      </c>
      <c r="AV222" s="142">
        <v>0</v>
      </c>
      <c r="AW222" s="142">
        <v>0</v>
      </c>
    </row>
    <row r="223" spans="17:49" x14ac:dyDescent="0.25">
      <c r="R223" s="141">
        <f t="shared" si="5"/>
        <v>626.07405633592384</v>
      </c>
      <c r="S223" s="142">
        <v>0</v>
      </c>
      <c r="T223" s="142">
        <v>0</v>
      </c>
      <c r="U223" s="142">
        <v>0</v>
      </c>
      <c r="V223" s="142">
        <v>0</v>
      </c>
      <c r="W223" s="142">
        <v>0</v>
      </c>
      <c r="X223" s="142">
        <v>0</v>
      </c>
      <c r="Y223" s="142">
        <v>0</v>
      </c>
      <c r="Z223" s="142">
        <v>0</v>
      </c>
      <c r="AA223" s="142">
        <v>0</v>
      </c>
      <c r="AB223" s="142">
        <v>0</v>
      </c>
      <c r="AC223" s="142">
        <v>0</v>
      </c>
      <c r="AD223" s="142">
        <v>0</v>
      </c>
      <c r="AE223" s="142">
        <v>0</v>
      </c>
      <c r="AF223" s="142">
        <v>0</v>
      </c>
      <c r="AG223" s="142">
        <v>0</v>
      </c>
      <c r="AH223" s="142">
        <v>0</v>
      </c>
      <c r="AI223" s="142">
        <v>0</v>
      </c>
      <c r="AJ223" s="142">
        <v>0</v>
      </c>
      <c r="AK223" s="142">
        <v>0</v>
      </c>
      <c r="AL223" s="142">
        <v>0</v>
      </c>
      <c r="AM223" s="142">
        <v>0</v>
      </c>
      <c r="AN223" s="142">
        <v>0</v>
      </c>
      <c r="AO223" s="142">
        <v>0</v>
      </c>
      <c r="AP223" s="142">
        <v>0</v>
      </c>
      <c r="AQ223" s="142">
        <v>0</v>
      </c>
      <c r="AR223" s="142">
        <v>0</v>
      </c>
      <c r="AS223" s="142">
        <v>0</v>
      </c>
      <c r="AT223" s="142">
        <v>0</v>
      </c>
      <c r="AU223" s="142">
        <v>0</v>
      </c>
      <c r="AV223" s="142">
        <v>0</v>
      </c>
      <c r="AW223" s="142">
        <v>0</v>
      </c>
    </row>
    <row r="224" spans="17:49" x14ac:dyDescent="0.25">
      <c r="R224" s="141">
        <f t="shared" si="5"/>
        <v>682.98987963918978</v>
      </c>
      <c r="S224" s="142">
        <v>0</v>
      </c>
      <c r="T224" s="142">
        <v>0</v>
      </c>
      <c r="U224" s="142">
        <v>0</v>
      </c>
      <c r="V224" s="142">
        <v>0</v>
      </c>
      <c r="W224" s="142">
        <v>0</v>
      </c>
      <c r="X224" s="142">
        <v>0</v>
      </c>
      <c r="Y224" s="142">
        <v>0</v>
      </c>
      <c r="Z224" s="142">
        <v>0</v>
      </c>
      <c r="AA224" s="142">
        <v>0</v>
      </c>
      <c r="AB224" s="142">
        <v>0</v>
      </c>
      <c r="AC224" s="142">
        <v>0</v>
      </c>
      <c r="AD224" s="142">
        <v>0</v>
      </c>
      <c r="AE224" s="142">
        <v>0</v>
      </c>
      <c r="AF224" s="142">
        <v>0</v>
      </c>
      <c r="AG224" s="142">
        <v>0</v>
      </c>
      <c r="AH224" s="142">
        <v>0</v>
      </c>
      <c r="AI224" s="142">
        <v>0</v>
      </c>
      <c r="AJ224" s="142">
        <v>0</v>
      </c>
      <c r="AK224" s="142">
        <v>0</v>
      </c>
      <c r="AL224" s="142">
        <v>0</v>
      </c>
      <c r="AM224" s="142">
        <v>0</v>
      </c>
      <c r="AN224" s="142">
        <v>0</v>
      </c>
      <c r="AO224" s="142">
        <v>0</v>
      </c>
      <c r="AP224" s="142">
        <v>0</v>
      </c>
      <c r="AQ224" s="142">
        <v>0</v>
      </c>
      <c r="AR224" s="142">
        <v>0</v>
      </c>
      <c r="AS224" s="142">
        <v>0</v>
      </c>
      <c r="AT224" s="142">
        <v>0</v>
      </c>
      <c r="AU224" s="142">
        <v>0</v>
      </c>
      <c r="AV224" s="142">
        <v>0</v>
      </c>
      <c r="AW224" s="142">
        <v>0</v>
      </c>
    </row>
    <row r="225" spans="18:49" x14ac:dyDescent="0.25">
      <c r="R225" s="141">
        <f t="shared" si="5"/>
        <v>739.90570294245549</v>
      </c>
      <c r="S225" s="142">
        <v>0</v>
      </c>
      <c r="T225" s="142">
        <v>0</v>
      </c>
      <c r="U225" s="142">
        <v>0</v>
      </c>
      <c r="V225" s="142">
        <v>0</v>
      </c>
      <c r="W225" s="142">
        <v>0</v>
      </c>
      <c r="X225" s="142">
        <v>0</v>
      </c>
      <c r="Y225" s="142">
        <v>0</v>
      </c>
      <c r="Z225" s="142">
        <v>0</v>
      </c>
      <c r="AA225" s="142">
        <v>0</v>
      </c>
      <c r="AB225" s="142">
        <v>0</v>
      </c>
      <c r="AC225" s="142">
        <v>0</v>
      </c>
      <c r="AD225" s="142">
        <v>0</v>
      </c>
      <c r="AE225" s="142">
        <v>0</v>
      </c>
      <c r="AF225" s="142">
        <v>0</v>
      </c>
      <c r="AG225" s="142">
        <v>0</v>
      </c>
      <c r="AH225" s="142">
        <v>0</v>
      </c>
      <c r="AI225" s="142">
        <v>0</v>
      </c>
      <c r="AJ225" s="142">
        <v>0</v>
      </c>
      <c r="AK225" s="142">
        <v>0</v>
      </c>
      <c r="AL225" s="142">
        <v>0</v>
      </c>
      <c r="AM225" s="142">
        <v>0</v>
      </c>
      <c r="AN225" s="142">
        <v>0</v>
      </c>
      <c r="AO225" s="142">
        <v>0</v>
      </c>
      <c r="AP225" s="142">
        <v>0</v>
      </c>
      <c r="AQ225" s="142">
        <v>0</v>
      </c>
      <c r="AR225" s="142">
        <v>0</v>
      </c>
      <c r="AS225" s="142">
        <v>0</v>
      </c>
      <c r="AT225" s="142">
        <v>0</v>
      </c>
      <c r="AU225" s="142">
        <v>0</v>
      </c>
      <c r="AV225" s="142">
        <v>0</v>
      </c>
      <c r="AW225" s="142">
        <v>0</v>
      </c>
    </row>
    <row r="226" spans="18:49" x14ac:dyDescent="0.25">
      <c r="R226" s="141">
        <f t="shared" si="5"/>
        <v>796.82152624572132</v>
      </c>
      <c r="S226" s="142">
        <v>0</v>
      </c>
      <c r="T226" s="142">
        <v>0</v>
      </c>
      <c r="U226" s="142">
        <v>0</v>
      </c>
      <c r="V226" s="142">
        <v>0</v>
      </c>
      <c r="W226" s="142">
        <v>0</v>
      </c>
      <c r="X226" s="142">
        <v>0</v>
      </c>
      <c r="Y226" s="142">
        <v>0</v>
      </c>
      <c r="Z226" s="142">
        <v>0</v>
      </c>
      <c r="AA226" s="142">
        <v>0</v>
      </c>
      <c r="AB226" s="142">
        <v>0</v>
      </c>
      <c r="AC226" s="142">
        <v>0</v>
      </c>
      <c r="AD226" s="142">
        <v>0</v>
      </c>
      <c r="AE226" s="142">
        <v>0</v>
      </c>
      <c r="AF226" s="142">
        <v>0</v>
      </c>
      <c r="AG226" s="142">
        <v>0</v>
      </c>
      <c r="AH226" s="142">
        <v>0</v>
      </c>
      <c r="AI226" s="142">
        <v>0</v>
      </c>
      <c r="AJ226" s="142">
        <v>0</v>
      </c>
      <c r="AK226" s="142">
        <v>0</v>
      </c>
      <c r="AL226" s="142">
        <v>0</v>
      </c>
      <c r="AM226" s="142">
        <v>0</v>
      </c>
      <c r="AN226" s="142">
        <v>0</v>
      </c>
      <c r="AO226" s="142">
        <v>0</v>
      </c>
      <c r="AP226" s="142">
        <v>0</v>
      </c>
      <c r="AQ226" s="142">
        <v>0</v>
      </c>
      <c r="AR226" s="142">
        <v>0</v>
      </c>
      <c r="AS226" s="142">
        <v>0</v>
      </c>
      <c r="AT226" s="142">
        <v>0</v>
      </c>
      <c r="AU226" s="142">
        <v>0</v>
      </c>
      <c r="AV226" s="142">
        <v>0</v>
      </c>
      <c r="AW226" s="142">
        <v>0</v>
      </c>
    </row>
    <row r="227" spans="18:49" x14ac:dyDescent="0.25">
      <c r="R227" s="141">
        <f t="shared" si="5"/>
        <v>853.73734954898703</v>
      </c>
      <c r="S227" s="142">
        <v>0</v>
      </c>
      <c r="T227" s="142">
        <v>0</v>
      </c>
      <c r="U227" s="142">
        <v>0</v>
      </c>
      <c r="V227" s="142">
        <v>0</v>
      </c>
      <c r="W227" s="142">
        <v>0</v>
      </c>
      <c r="X227" s="142">
        <v>0</v>
      </c>
      <c r="Y227" s="142">
        <v>0</v>
      </c>
      <c r="Z227" s="142">
        <v>0</v>
      </c>
      <c r="AA227" s="142">
        <v>0</v>
      </c>
      <c r="AB227" s="142">
        <v>0</v>
      </c>
      <c r="AC227" s="142">
        <v>0</v>
      </c>
      <c r="AD227" s="142">
        <v>0</v>
      </c>
      <c r="AE227" s="142">
        <v>0</v>
      </c>
      <c r="AF227" s="142">
        <v>0</v>
      </c>
      <c r="AG227" s="142">
        <v>0</v>
      </c>
      <c r="AH227" s="142">
        <v>0</v>
      </c>
      <c r="AI227" s="142">
        <v>0</v>
      </c>
      <c r="AJ227" s="142">
        <v>0</v>
      </c>
      <c r="AK227" s="142">
        <v>0</v>
      </c>
      <c r="AL227" s="142">
        <v>0</v>
      </c>
      <c r="AM227" s="142">
        <v>0</v>
      </c>
      <c r="AN227" s="142">
        <v>0</v>
      </c>
      <c r="AO227" s="142">
        <v>0</v>
      </c>
      <c r="AP227" s="142">
        <v>0</v>
      </c>
      <c r="AQ227" s="142">
        <v>0</v>
      </c>
      <c r="AR227" s="142">
        <v>0</v>
      </c>
      <c r="AS227" s="142">
        <v>0</v>
      </c>
      <c r="AT227" s="142">
        <v>0</v>
      </c>
      <c r="AU227" s="142">
        <v>0</v>
      </c>
      <c r="AV227" s="142">
        <v>0</v>
      </c>
      <c r="AW227" s="142">
        <v>0</v>
      </c>
    </row>
    <row r="228" spans="18:49" x14ac:dyDescent="0.25">
      <c r="R228" s="141">
        <f t="shared" si="5"/>
        <v>910.65317285225285</v>
      </c>
      <c r="S228" s="142">
        <v>0</v>
      </c>
      <c r="T228" s="142">
        <v>0</v>
      </c>
      <c r="U228" s="142">
        <v>0</v>
      </c>
      <c r="V228" s="142">
        <v>0</v>
      </c>
      <c r="W228" s="142">
        <v>0</v>
      </c>
      <c r="X228" s="142">
        <v>0</v>
      </c>
      <c r="Y228" s="142">
        <v>0</v>
      </c>
      <c r="Z228" s="142">
        <v>0</v>
      </c>
      <c r="AA228" s="142">
        <v>0</v>
      </c>
      <c r="AB228" s="142">
        <v>0</v>
      </c>
      <c r="AC228" s="142">
        <v>0</v>
      </c>
      <c r="AD228" s="142">
        <v>0</v>
      </c>
      <c r="AE228" s="142">
        <v>0</v>
      </c>
      <c r="AF228" s="142">
        <v>0</v>
      </c>
      <c r="AG228" s="142">
        <v>0</v>
      </c>
      <c r="AH228" s="142">
        <v>0</v>
      </c>
      <c r="AI228" s="142">
        <v>0</v>
      </c>
      <c r="AJ228" s="142">
        <v>0</v>
      </c>
      <c r="AK228" s="142">
        <v>0</v>
      </c>
      <c r="AL228" s="142">
        <v>0</v>
      </c>
      <c r="AM228" s="142">
        <v>0</v>
      </c>
      <c r="AN228" s="142">
        <v>0</v>
      </c>
      <c r="AO228" s="142">
        <v>0</v>
      </c>
      <c r="AP228" s="142">
        <v>0</v>
      </c>
      <c r="AQ228" s="142">
        <v>0</v>
      </c>
      <c r="AR228" s="142">
        <v>0</v>
      </c>
      <c r="AS228" s="142">
        <v>0</v>
      </c>
      <c r="AT228" s="142">
        <v>0</v>
      </c>
      <c r="AU228" s="142">
        <v>0</v>
      </c>
      <c r="AV228" s="142">
        <v>0</v>
      </c>
      <c r="AW228" s="142">
        <v>0</v>
      </c>
    </row>
    <row r="229" spans="18:49" x14ac:dyDescent="0.25">
      <c r="R229" s="141">
        <f t="shared" si="5"/>
        <v>967.56899615551868</v>
      </c>
      <c r="S229" s="142">
        <v>0</v>
      </c>
      <c r="T229" s="142">
        <v>0</v>
      </c>
      <c r="U229" s="142">
        <v>0</v>
      </c>
      <c r="V229" s="142">
        <v>0</v>
      </c>
      <c r="W229" s="142">
        <v>0</v>
      </c>
      <c r="X229" s="142">
        <v>0</v>
      </c>
      <c r="Y229" s="142">
        <v>0</v>
      </c>
      <c r="Z229" s="142">
        <v>0</v>
      </c>
      <c r="AA229" s="142">
        <v>0</v>
      </c>
      <c r="AB229" s="142">
        <v>0</v>
      </c>
      <c r="AC229" s="142">
        <v>0</v>
      </c>
      <c r="AD229" s="142">
        <v>0</v>
      </c>
      <c r="AE229" s="142">
        <v>0</v>
      </c>
      <c r="AF229" s="142">
        <v>0</v>
      </c>
      <c r="AG229" s="142">
        <v>0</v>
      </c>
      <c r="AH229" s="142">
        <v>0</v>
      </c>
      <c r="AI229" s="142">
        <v>0</v>
      </c>
      <c r="AJ229" s="142">
        <v>0</v>
      </c>
      <c r="AK229" s="142">
        <v>0</v>
      </c>
      <c r="AL229" s="142">
        <v>0</v>
      </c>
      <c r="AM229" s="142">
        <v>0</v>
      </c>
      <c r="AN229" s="142">
        <v>0</v>
      </c>
      <c r="AO229" s="142">
        <v>0</v>
      </c>
      <c r="AP229" s="142">
        <v>0</v>
      </c>
      <c r="AQ229" s="142">
        <v>0</v>
      </c>
      <c r="AR229" s="142">
        <v>0</v>
      </c>
      <c r="AS229" s="142">
        <v>0</v>
      </c>
      <c r="AT229" s="142">
        <v>0</v>
      </c>
      <c r="AU229" s="142">
        <v>0</v>
      </c>
      <c r="AV229" s="142">
        <v>0</v>
      </c>
      <c r="AW229" s="142">
        <v>0</v>
      </c>
    </row>
    <row r="230" spans="18:49" x14ac:dyDescent="0.25">
      <c r="R230" s="141">
        <f t="shared" si="5"/>
        <v>1024.4848194587846</v>
      </c>
      <c r="S230" s="142">
        <v>0</v>
      </c>
      <c r="T230" s="142">
        <v>0</v>
      </c>
      <c r="U230" s="142">
        <v>0</v>
      </c>
      <c r="V230" s="142">
        <v>0</v>
      </c>
      <c r="W230" s="142">
        <v>0</v>
      </c>
      <c r="X230" s="142">
        <v>0</v>
      </c>
      <c r="Y230" s="142">
        <v>0</v>
      </c>
      <c r="Z230" s="142">
        <v>0</v>
      </c>
      <c r="AA230" s="142">
        <v>0</v>
      </c>
      <c r="AB230" s="142">
        <v>0</v>
      </c>
      <c r="AC230" s="142">
        <v>0</v>
      </c>
      <c r="AD230" s="142">
        <v>0</v>
      </c>
      <c r="AE230" s="142">
        <v>0</v>
      </c>
      <c r="AF230" s="142">
        <v>0</v>
      </c>
      <c r="AG230" s="142">
        <v>0</v>
      </c>
      <c r="AH230" s="142">
        <v>0</v>
      </c>
      <c r="AI230" s="142">
        <v>0</v>
      </c>
      <c r="AJ230" s="142">
        <v>0</v>
      </c>
      <c r="AK230" s="142">
        <v>0</v>
      </c>
      <c r="AL230" s="142">
        <v>0</v>
      </c>
      <c r="AM230" s="142">
        <v>0</v>
      </c>
      <c r="AN230" s="142">
        <v>0</v>
      </c>
      <c r="AO230" s="142">
        <v>0</v>
      </c>
      <c r="AP230" s="142">
        <v>0</v>
      </c>
      <c r="AQ230" s="142">
        <v>0</v>
      </c>
      <c r="AR230" s="142">
        <v>0</v>
      </c>
      <c r="AS230" s="142">
        <v>0</v>
      </c>
      <c r="AT230" s="142">
        <v>0</v>
      </c>
      <c r="AU230" s="142">
        <v>0</v>
      </c>
      <c r="AV230" s="142">
        <v>0</v>
      </c>
      <c r="AW230" s="142">
        <v>0</v>
      </c>
    </row>
    <row r="231" spans="18:49" x14ac:dyDescent="0.25">
      <c r="R231" s="141">
        <f t="shared" si="5"/>
        <v>1081.4006427620504</v>
      </c>
      <c r="S231" s="142">
        <v>0</v>
      </c>
      <c r="T231" s="142">
        <v>0</v>
      </c>
      <c r="U231" s="142">
        <v>0</v>
      </c>
      <c r="V231" s="142">
        <v>0</v>
      </c>
      <c r="W231" s="142">
        <v>0</v>
      </c>
      <c r="X231" s="142">
        <v>0</v>
      </c>
      <c r="Y231" s="142">
        <v>0</v>
      </c>
      <c r="Z231" s="142">
        <v>0</v>
      </c>
      <c r="AA231" s="142">
        <v>0</v>
      </c>
      <c r="AB231" s="142">
        <v>0</v>
      </c>
      <c r="AC231" s="142">
        <v>0</v>
      </c>
      <c r="AD231" s="142">
        <v>0</v>
      </c>
      <c r="AE231" s="142">
        <v>0</v>
      </c>
      <c r="AF231" s="142">
        <v>0</v>
      </c>
      <c r="AG231" s="142">
        <v>0</v>
      </c>
      <c r="AH231" s="142">
        <v>0</v>
      </c>
      <c r="AI231" s="142">
        <v>0</v>
      </c>
      <c r="AJ231" s="142">
        <v>0</v>
      </c>
      <c r="AK231" s="142">
        <v>0</v>
      </c>
      <c r="AL231" s="142">
        <v>0</v>
      </c>
      <c r="AM231" s="142">
        <v>0</v>
      </c>
      <c r="AN231" s="142">
        <v>0</v>
      </c>
      <c r="AO231" s="142">
        <v>0</v>
      </c>
      <c r="AP231" s="142">
        <v>0</v>
      </c>
      <c r="AQ231" s="142">
        <v>0</v>
      </c>
      <c r="AR231" s="142">
        <v>0</v>
      </c>
      <c r="AS231" s="142">
        <v>0</v>
      </c>
      <c r="AT231" s="142">
        <v>0</v>
      </c>
      <c r="AU231" s="142">
        <v>0</v>
      </c>
      <c r="AV231" s="142">
        <v>0</v>
      </c>
      <c r="AW231" s="142">
        <v>0</v>
      </c>
    </row>
    <row r="232" spans="18:49" x14ac:dyDescent="0.25">
      <c r="R232" s="141">
        <f t="shared" si="5"/>
        <v>1138.316466065316</v>
      </c>
      <c r="S232" s="142">
        <v>0</v>
      </c>
      <c r="T232" s="142">
        <v>0</v>
      </c>
      <c r="U232" s="142">
        <v>0</v>
      </c>
      <c r="V232" s="142">
        <v>0</v>
      </c>
      <c r="W232" s="142">
        <v>0</v>
      </c>
      <c r="X232" s="142">
        <v>0</v>
      </c>
      <c r="Y232" s="142">
        <v>0</v>
      </c>
      <c r="Z232" s="142">
        <v>0</v>
      </c>
      <c r="AA232" s="142">
        <v>0</v>
      </c>
      <c r="AB232" s="142">
        <v>0</v>
      </c>
      <c r="AC232" s="142">
        <v>0</v>
      </c>
      <c r="AD232" s="142">
        <v>0</v>
      </c>
      <c r="AE232" s="142">
        <v>0</v>
      </c>
      <c r="AF232" s="142">
        <v>0</v>
      </c>
      <c r="AG232" s="142">
        <v>0</v>
      </c>
      <c r="AH232" s="142">
        <v>0</v>
      </c>
      <c r="AI232" s="142">
        <v>0</v>
      </c>
      <c r="AJ232" s="142">
        <v>0</v>
      </c>
      <c r="AK232" s="142">
        <v>0</v>
      </c>
      <c r="AL232" s="142">
        <v>0</v>
      </c>
      <c r="AM232" s="142">
        <v>0</v>
      </c>
      <c r="AN232" s="142">
        <v>0</v>
      </c>
      <c r="AO232" s="142">
        <v>0</v>
      </c>
      <c r="AP232" s="142">
        <v>0</v>
      </c>
      <c r="AQ232" s="142">
        <v>0</v>
      </c>
      <c r="AR232" s="142">
        <v>0</v>
      </c>
      <c r="AS232" s="142">
        <v>0</v>
      </c>
      <c r="AT232" s="142">
        <v>0</v>
      </c>
      <c r="AU232" s="142">
        <v>0</v>
      </c>
      <c r="AV232" s="142">
        <v>0</v>
      </c>
      <c r="AW232" s="142">
        <v>0</v>
      </c>
    </row>
    <row r="233" spans="18:49" x14ac:dyDescent="0.25">
      <c r="R233" s="141">
        <f t="shared" si="5"/>
        <v>1195.2322893685819</v>
      </c>
      <c r="S233" s="142">
        <v>0</v>
      </c>
      <c r="T233" s="142">
        <v>0</v>
      </c>
      <c r="U233" s="142">
        <v>0</v>
      </c>
      <c r="V233" s="142">
        <v>0</v>
      </c>
      <c r="W233" s="142">
        <v>0</v>
      </c>
      <c r="X233" s="142">
        <v>0</v>
      </c>
      <c r="Y233" s="142">
        <v>0</v>
      </c>
      <c r="Z233" s="142">
        <v>0</v>
      </c>
      <c r="AA233" s="142">
        <v>0</v>
      </c>
      <c r="AB233" s="142">
        <v>0</v>
      </c>
      <c r="AC233" s="142">
        <v>0</v>
      </c>
      <c r="AD233" s="142">
        <v>0</v>
      </c>
      <c r="AE233" s="142">
        <v>0</v>
      </c>
      <c r="AF233" s="142">
        <v>0</v>
      </c>
      <c r="AG233" s="142">
        <v>0</v>
      </c>
      <c r="AH233" s="142">
        <v>0</v>
      </c>
      <c r="AI233" s="142">
        <v>0</v>
      </c>
      <c r="AJ233" s="142">
        <v>0</v>
      </c>
      <c r="AK233" s="142">
        <v>0</v>
      </c>
      <c r="AL233" s="142">
        <v>0</v>
      </c>
      <c r="AM233" s="142">
        <v>0</v>
      </c>
      <c r="AN233" s="142">
        <v>0</v>
      </c>
      <c r="AO233" s="142">
        <v>0</v>
      </c>
      <c r="AP233" s="142">
        <v>0</v>
      </c>
      <c r="AQ233" s="142">
        <v>0</v>
      </c>
      <c r="AR233" s="142">
        <v>0</v>
      </c>
      <c r="AS233" s="142">
        <v>0</v>
      </c>
      <c r="AT233" s="142">
        <v>0</v>
      </c>
      <c r="AU233" s="142">
        <v>0</v>
      </c>
      <c r="AV233" s="142">
        <v>0</v>
      </c>
      <c r="AW233" s="142">
        <v>0</v>
      </c>
    </row>
    <row r="234" spans="18:49" x14ac:dyDescent="0.25">
      <c r="R234" s="141">
        <f t="shared" si="5"/>
        <v>1252.1481126718477</v>
      </c>
      <c r="S234" s="142">
        <v>0</v>
      </c>
      <c r="T234" s="142">
        <v>0</v>
      </c>
      <c r="U234" s="142">
        <v>0</v>
      </c>
      <c r="V234" s="142">
        <v>0</v>
      </c>
      <c r="W234" s="142">
        <v>0</v>
      </c>
      <c r="X234" s="142">
        <v>0</v>
      </c>
      <c r="Y234" s="142">
        <v>0</v>
      </c>
      <c r="Z234" s="142">
        <v>0</v>
      </c>
      <c r="AA234" s="142">
        <v>0</v>
      </c>
      <c r="AB234" s="142">
        <v>0</v>
      </c>
      <c r="AC234" s="142">
        <v>0</v>
      </c>
      <c r="AD234" s="142">
        <v>0</v>
      </c>
      <c r="AE234" s="142">
        <v>0</v>
      </c>
      <c r="AF234" s="142">
        <v>0</v>
      </c>
      <c r="AG234" s="142">
        <v>0</v>
      </c>
      <c r="AH234" s="142">
        <v>0</v>
      </c>
      <c r="AI234" s="142">
        <v>0</v>
      </c>
      <c r="AJ234" s="142">
        <v>0</v>
      </c>
      <c r="AK234" s="142">
        <v>0</v>
      </c>
      <c r="AL234" s="142">
        <v>0</v>
      </c>
      <c r="AM234" s="142">
        <v>0</v>
      </c>
      <c r="AN234" s="142">
        <v>0</v>
      </c>
      <c r="AO234" s="142">
        <v>0</v>
      </c>
      <c r="AP234" s="142">
        <v>0</v>
      </c>
      <c r="AQ234" s="142">
        <v>0</v>
      </c>
      <c r="AR234" s="142">
        <v>0</v>
      </c>
      <c r="AS234" s="142">
        <v>0</v>
      </c>
      <c r="AT234" s="142">
        <v>0</v>
      </c>
      <c r="AU234" s="142">
        <v>0</v>
      </c>
      <c r="AV234" s="142">
        <v>0</v>
      </c>
      <c r="AW234" s="142">
        <v>0</v>
      </c>
    </row>
    <row r="235" spans="18:49" x14ac:dyDescent="0.25">
      <c r="R235" s="141">
        <f t="shared" si="5"/>
        <v>1309.0639359751137</v>
      </c>
      <c r="S235" s="142">
        <v>0</v>
      </c>
      <c r="T235" s="142">
        <v>0</v>
      </c>
      <c r="U235" s="142">
        <v>0</v>
      </c>
      <c r="V235" s="142">
        <v>0</v>
      </c>
      <c r="W235" s="142">
        <v>0</v>
      </c>
      <c r="X235" s="142">
        <v>0</v>
      </c>
      <c r="Y235" s="142">
        <v>0</v>
      </c>
      <c r="Z235" s="142">
        <v>0</v>
      </c>
      <c r="AA235" s="142">
        <v>0</v>
      </c>
      <c r="AB235" s="142">
        <v>0</v>
      </c>
      <c r="AC235" s="142">
        <v>0</v>
      </c>
      <c r="AD235" s="142">
        <v>0</v>
      </c>
      <c r="AE235" s="142">
        <v>0</v>
      </c>
      <c r="AF235" s="142">
        <v>0</v>
      </c>
      <c r="AG235" s="142">
        <v>0</v>
      </c>
      <c r="AH235" s="142">
        <v>0</v>
      </c>
      <c r="AI235" s="142">
        <v>0</v>
      </c>
      <c r="AJ235" s="142">
        <v>0</v>
      </c>
      <c r="AK235" s="142">
        <v>0</v>
      </c>
      <c r="AL235" s="142">
        <v>0</v>
      </c>
      <c r="AM235" s="142">
        <v>0</v>
      </c>
      <c r="AN235" s="142">
        <v>0</v>
      </c>
      <c r="AO235" s="142">
        <v>0</v>
      </c>
      <c r="AP235" s="142">
        <v>0</v>
      </c>
      <c r="AQ235" s="142">
        <v>0</v>
      </c>
      <c r="AR235" s="142">
        <v>0</v>
      </c>
      <c r="AS235" s="142">
        <v>0</v>
      </c>
      <c r="AT235" s="142">
        <v>0</v>
      </c>
      <c r="AU235" s="142">
        <v>0</v>
      </c>
      <c r="AV235" s="142">
        <v>0</v>
      </c>
      <c r="AW235" s="142">
        <v>0</v>
      </c>
    </row>
    <row r="236" spans="18:49" x14ac:dyDescent="0.25">
      <c r="R236" s="141">
        <f t="shared" si="5"/>
        <v>1365.9797592783796</v>
      </c>
      <c r="S236" s="142">
        <v>0</v>
      </c>
      <c r="T236" s="142">
        <v>0</v>
      </c>
      <c r="U236" s="142">
        <v>0</v>
      </c>
      <c r="V236" s="142">
        <v>0</v>
      </c>
      <c r="W236" s="142">
        <v>0</v>
      </c>
      <c r="X236" s="142">
        <v>0</v>
      </c>
      <c r="Y236" s="142">
        <v>0</v>
      </c>
      <c r="Z236" s="142">
        <v>0</v>
      </c>
      <c r="AA236" s="142">
        <v>0</v>
      </c>
      <c r="AB236" s="142">
        <v>0</v>
      </c>
      <c r="AC236" s="142">
        <v>0</v>
      </c>
      <c r="AD236" s="142">
        <v>0</v>
      </c>
      <c r="AE236" s="142">
        <v>0</v>
      </c>
      <c r="AF236" s="142">
        <v>0</v>
      </c>
      <c r="AG236" s="142">
        <v>0</v>
      </c>
      <c r="AH236" s="142">
        <v>0</v>
      </c>
      <c r="AI236" s="142">
        <v>0</v>
      </c>
      <c r="AJ236" s="142">
        <v>0</v>
      </c>
      <c r="AK236" s="142">
        <v>0</v>
      </c>
      <c r="AL236" s="142">
        <v>0</v>
      </c>
      <c r="AM236" s="142">
        <v>0</v>
      </c>
      <c r="AN236" s="142">
        <v>0</v>
      </c>
      <c r="AO236" s="142">
        <v>0</v>
      </c>
      <c r="AP236" s="142">
        <v>0</v>
      </c>
      <c r="AQ236" s="142">
        <v>0</v>
      </c>
      <c r="AR236" s="142">
        <v>0</v>
      </c>
      <c r="AS236" s="142">
        <v>0</v>
      </c>
      <c r="AT236" s="142">
        <v>0</v>
      </c>
      <c r="AU236" s="142">
        <v>0</v>
      </c>
      <c r="AV236" s="142">
        <v>0</v>
      </c>
      <c r="AW236" s="142">
        <v>0</v>
      </c>
    </row>
    <row r="237" spans="18:49" x14ac:dyDescent="0.25">
      <c r="R237" s="141">
        <f t="shared" si="5"/>
        <v>1422.8955825816452</v>
      </c>
      <c r="S237" s="142">
        <v>0</v>
      </c>
      <c r="T237" s="142">
        <v>0</v>
      </c>
      <c r="U237" s="142">
        <v>0</v>
      </c>
      <c r="V237" s="142">
        <v>0</v>
      </c>
      <c r="W237" s="142">
        <v>0</v>
      </c>
      <c r="X237" s="142">
        <v>0</v>
      </c>
      <c r="Y237" s="142">
        <v>0</v>
      </c>
      <c r="Z237" s="142">
        <v>0</v>
      </c>
      <c r="AA237" s="142">
        <v>0</v>
      </c>
      <c r="AB237" s="142">
        <v>0</v>
      </c>
      <c r="AC237" s="142">
        <v>0</v>
      </c>
      <c r="AD237" s="142">
        <v>0</v>
      </c>
      <c r="AE237" s="142">
        <v>0</v>
      </c>
      <c r="AF237" s="142">
        <v>0</v>
      </c>
      <c r="AG237" s="142">
        <v>0</v>
      </c>
      <c r="AH237" s="142">
        <v>0</v>
      </c>
      <c r="AI237" s="142">
        <v>0</v>
      </c>
      <c r="AJ237" s="142">
        <v>0</v>
      </c>
      <c r="AK237" s="142">
        <v>0</v>
      </c>
      <c r="AL237" s="142">
        <v>0</v>
      </c>
      <c r="AM237" s="142">
        <v>0</v>
      </c>
      <c r="AN237" s="142">
        <v>0</v>
      </c>
      <c r="AO237" s="142">
        <v>0</v>
      </c>
      <c r="AP237" s="142">
        <v>0</v>
      </c>
      <c r="AQ237" s="142">
        <v>0</v>
      </c>
      <c r="AR237" s="142">
        <v>0</v>
      </c>
      <c r="AS237" s="142">
        <v>0</v>
      </c>
      <c r="AT237" s="142">
        <v>0</v>
      </c>
      <c r="AU237" s="142">
        <v>0</v>
      </c>
      <c r="AV237" s="142">
        <v>0</v>
      </c>
      <c r="AW237" s="142">
        <v>0</v>
      </c>
    </row>
    <row r="238" spans="18:49" x14ac:dyDescent="0.25">
      <c r="R238" s="141">
        <f t="shared" si="5"/>
        <v>1479.811405884911</v>
      </c>
      <c r="S238" s="142">
        <v>0</v>
      </c>
      <c r="T238" s="142">
        <v>0</v>
      </c>
      <c r="U238" s="142">
        <v>0</v>
      </c>
      <c r="V238" s="142">
        <v>0</v>
      </c>
      <c r="W238" s="142">
        <v>0</v>
      </c>
      <c r="X238" s="142">
        <v>0</v>
      </c>
      <c r="Y238" s="142">
        <v>0</v>
      </c>
      <c r="Z238" s="142">
        <v>0</v>
      </c>
      <c r="AA238" s="142">
        <v>0</v>
      </c>
      <c r="AB238" s="142">
        <v>0</v>
      </c>
      <c r="AC238" s="142">
        <v>0</v>
      </c>
      <c r="AD238" s="142">
        <v>0</v>
      </c>
      <c r="AE238" s="142">
        <v>0</v>
      </c>
      <c r="AF238" s="142">
        <v>0</v>
      </c>
      <c r="AG238" s="142">
        <v>0</v>
      </c>
      <c r="AH238" s="142">
        <v>0</v>
      </c>
      <c r="AI238" s="142">
        <v>0</v>
      </c>
      <c r="AJ238" s="142">
        <v>0</v>
      </c>
      <c r="AK238" s="142">
        <v>0</v>
      </c>
      <c r="AL238" s="142">
        <v>0</v>
      </c>
      <c r="AM238" s="142">
        <v>0</v>
      </c>
      <c r="AN238" s="142">
        <v>0</v>
      </c>
      <c r="AO238" s="142">
        <v>0</v>
      </c>
      <c r="AP238" s="142">
        <v>0</v>
      </c>
      <c r="AQ238" s="142">
        <v>0</v>
      </c>
      <c r="AR238" s="142">
        <v>0</v>
      </c>
      <c r="AS238" s="142">
        <v>0</v>
      </c>
      <c r="AT238" s="142">
        <v>0</v>
      </c>
      <c r="AU238" s="142">
        <v>0</v>
      </c>
      <c r="AV238" s="142">
        <v>0</v>
      </c>
      <c r="AW238" s="142">
        <v>0</v>
      </c>
    </row>
    <row r="239" spans="18:49" x14ac:dyDescent="0.25">
      <c r="R239" s="141">
        <f t="shared" si="5"/>
        <v>1536.7272291881768</v>
      </c>
      <c r="S239" s="142">
        <v>0</v>
      </c>
      <c r="T239" s="142">
        <v>0</v>
      </c>
      <c r="U239" s="142">
        <v>0</v>
      </c>
      <c r="V239" s="142">
        <v>0</v>
      </c>
      <c r="W239" s="142">
        <v>0</v>
      </c>
      <c r="X239" s="142">
        <v>0</v>
      </c>
      <c r="Y239" s="142">
        <v>0</v>
      </c>
      <c r="Z239" s="142">
        <v>0</v>
      </c>
      <c r="AA239" s="142">
        <v>0</v>
      </c>
      <c r="AB239" s="142">
        <v>0</v>
      </c>
      <c r="AC239" s="142">
        <v>0</v>
      </c>
      <c r="AD239" s="142">
        <v>0</v>
      </c>
      <c r="AE239" s="142">
        <v>0</v>
      </c>
      <c r="AF239" s="142">
        <v>0</v>
      </c>
      <c r="AG239" s="142">
        <v>0</v>
      </c>
      <c r="AH239" s="142">
        <v>0</v>
      </c>
      <c r="AI239" s="142">
        <v>0</v>
      </c>
      <c r="AJ239" s="142">
        <v>0</v>
      </c>
      <c r="AK239" s="142">
        <v>0</v>
      </c>
      <c r="AL239" s="142">
        <v>0</v>
      </c>
      <c r="AM239" s="142">
        <v>0</v>
      </c>
      <c r="AN239" s="142">
        <v>0</v>
      </c>
      <c r="AO239" s="142">
        <v>0</v>
      </c>
      <c r="AP239" s="142">
        <v>0</v>
      </c>
      <c r="AQ239" s="142">
        <v>0</v>
      </c>
      <c r="AR239" s="142">
        <v>0</v>
      </c>
      <c r="AS239" s="142">
        <v>0</v>
      </c>
      <c r="AT239" s="142">
        <v>0</v>
      </c>
      <c r="AU239" s="142">
        <v>0</v>
      </c>
      <c r="AV239" s="142">
        <v>0</v>
      </c>
      <c r="AW239" s="142">
        <v>0</v>
      </c>
    </row>
    <row r="240" spans="18:49" x14ac:dyDescent="0.25">
      <c r="R240" s="141">
        <f t="shared" si="5"/>
        <v>1593.6430524914426</v>
      </c>
      <c r="S240" s="142">
        <v>0</v>
      </c>
      <c r="T240" s="142">
        <v>0</v>
      </c>
      <c r="U240" s="142">
        <v>0</v>
      </c>
      <c r="V240" s="142">
        <v>0</v>
      </c>
      <c r="W240" s="142">
        <v>0</v>
      </c>
      <c r="X240" s="142">
        <v>0</v>
      </c>
      <c r="Y240" s="142">
        <v>0</v>
      </c>
      <c r="Z240" s="142">
        <v>0</v>
      </c>
      <c r="AA240" s="142">
        <v>0</v>
      </c>
      <c r="AB240" s="142">
        <v>0</v>
      </c>
      <c r="AC240" s="142">
        <v>0</v>
      </c>
      <c r="AD240" s="142">
        <v>0</v>
      </c>
      <c r="AE240" s="142">
        <v>0</v>
      </c>
      <c r="AF240" s="142">
        <v>0</v>
      </c>
      <c r="AG240" s="142">
        <v>0</v>
      </c>
      <c r="AH240" s="142">
        <v>0</v>
      </c>
      <c r="AI240" s="142">
        <v>0</v>
      </c>
      <c r="AJ240" s="142">
        <v>0</v>
      </c>
      <c r="AK240" s="142">
        <v>0</v>
      </c>
      <c r="AL240" s="142">
        <v>0</v>
      </c>
      <c r="AM240" s="142">
        <v>0</v>
      </c>
      <c r="AN240" s="142">
        <v>0</v>
      </c>
      <c r="AO240" s="142">
        <v>0</v>
      </c>
      <c r="AP240" s="142">
        <v>0</v>
      </c>
      <c r="AQ240" s="142">
        <v>0</v>
      </c>
      <c r="AR240" s="142">
        <v>0</v>
      </c>
      <c r="AS240" s="142">
        <v>0</v>
      </c>
      <c r="AT240" s="142">
        <v>0</v>
      </c>
      <c r="AU240" s="142">
        <v>0</v>
      </c>
      <c r="AV240" s="142">
        <v>0</v>
      </c>
      <c r="AW240" s="142">
        <v>0</v>
      </c>
    </row>
    <row r="241" spans="18:49" x14ac:dyDescent="0.25">
      <c r="R241" s="141">
        <f t="shared" si="5"/>
        <v>1650.5588757947085</v>
      </c>
      <c r="S241" s="142">
        <v>0</v>
      </c>
      <c r="T241" s="142">
        <v>0</v>
      </c>
      <c r="U241" s="142">
        <v>0</v>
      </c>
      <c r="V241" s="142">
        <v>0</v>
      </c>
      <c r="W241" s="142">
        <v>0</v>
      </c>
      <c r="X241" s="142">
        <v>0</v>
      </c>
      <c r="Y241" s="142">
        <v>0</v>
      </c>
      <c r="Z241" s="142">
        <v>0</v>
      </c>
      <c r="AA241" s="142">
        <v>0</v>
      </c>
      <c r="AB241" s="142">
        <v>0</v>
      </c>
      <c r="AC241" s="142">
        <v>0</v>
      </c>
      <c r="AD241" s="142">
        <v>0</v>
      </c>
      <c r="AE241" s="142">
        <v>0</v>
      </c>
      <c r="AF241" s="142">
        <v>0</v>
      </c>
      <c r="AG241" s="142">
        <v>0</v>
      </c>
      <c r="AH241" s="142">
        <v>0</v>
      </c>
      <c r="AI241" s="142">
        <v>0</v>
      </c>
      <c r="AJ241" s="142">
        <v>0</v>
      </c>
      <c r="AK241" s="142">
        <v>0</v>
      </c>
      <c r="AL241" s="142">
        <v>0</v>
      </c>
      <c r="AM241" s="142">
        <v>0</v>
      </c>
      <c r="AN241" s="142">
        <v>0</v>
      </c>
      <c r="AO241" s="142">
        <v>0</v>
      </c>
      <c r="AP241" s="142">
        <v>0</v>
      </c>
      <c r="AQ241" s="142">
        <v>0</v>
      </c>
      <c r="AR241" s="142">
        <v>0</v>
      </c>
      <c r="AS241" s="142">
        <v>0</v>
      </c>
      <c r="AT241" s="142">
        <v>0</v>
      </c>
      <c r="AU241" s="142">
        <v>0</v>
      </c>
      <c r="AV241" s="142">
        <v>0</v>
      </c>
      <c r="AW241" s="142">
        <v>0</v>
      </c>
    </row>
    <row r="242" spans="18:49" x14ac:dyDescent="0.25">
      <c r="R242" s="141">
        <f t="shared" si="5"/>
        <v>1707.4746990979741</v>
      </c>
      <c r="S242" s="142">
        <v>0</v>
      </c>
      <c r="T242" s="142">
        <v>0</v>
      </c>
      <c r="U242" s="142">
        <v>0</v>
      </c>
      <c r="V242" s="142">
        <v>0</v>
      </c>
      <c r="W242" s="142">
        <v>0</v>
      </c>
      <c r="X242" s="142">
        <v>0</v>
      </c>
      <c r="Y242" s="142">
        <v>0</v>
      </c>
      <c r="Z242" s="142">
        <v>0</v>
      </c>
      <c r="AA242" s="142">
        <v>0</v>
      </c>
      <c r="AB242" s="142">
        <v>0</v>
      </c>
      <c r="AC242" s="142">
        <v>0</v>
      </c>
      <c r="AD242" s="142">
        <v>0</v>
      </c>
      <c r="AE242" s="142">
        <v>0</v>
      </c>
      <c r="AF242" s="142">
        <v>0</v>
      </c>
      <c r="AG242" s="142">
        <v>0</v>
      </c>
      <c r="AH242" s="142">
        <v>0</v>
      </c>
      <c r="AI242" s="142">
        <v>0</v>
      </c>
      <c r="AJ242" s="142">
        <v>0</v>
      </c>
      <c r="AK242" s="142">
        <v>0</v>
      </c>
      <c r="AL242" s="142">
        <v>0</v>
      </c>
      <c r="AM242" s="142">
        <v>0</v>
      </c>
      <c r="AN242" s="142">
        <v>0</v>
      </c>
      <c r="AO242" s="142">
        <v>0</v>
      </c>
      <c r="AP242" s="142">
        <v>0</v>
      </c>
      <c r="AQ242" s="142">
        <v>0</v>
      </c>
      <c r="AR242" s="142">
        <v>0</v>
      </c>
      <c r="AS242" s="142">
        <v>0</v>
      </c>
      <c r="AT242" s="142">
        <v>0</v>
      </c>
      <c r="AU242" s="142">
        <v>0</v>
      </c>
      <c r="AV242" s="142">
        <v>0</v>
      </c>
      <c r="AW242" s="142">
        <v>0</v>
      </c>
    </row>
    <row r="243" spans="18:49" x14ac:dyDescent="0.25">
      <c r="R243" s="141">
        <f t="shared" si="5"/>
        <v>1764.3905224012399</v>
      </c>
      <c r="S243" s="142">
        <v>0</v>
      </c>
      <c r="T243" s="142">
        <v>0</v>
      </c>
      <c r="U243" s="142">
        <v>0</v>
      </c>
      <c r="V243" s="142">
        <v>0</v>
      </c>
      <c r="W243" s="142">
        <v>0</v>
      </c>
      <c r="X243" s="142">
        <v>0</v>
      </c>
      <c r="Y243" s="142">
        <v>0</v>
      </c>
      <c r="Z243" s="142">
        <v>0</v>
      </c>
      <c r="AA243" s="142">
        <v>0</v>
      </c>
      <c r="AB243" s="142">
        <v>0</v>
      </c>
      <c r="AC243" s="142">
        <v>0</v>
      </c>
      <c r="AD243" s="142">
        <v>0</v>
      </c>
      <c r="AE243" s="142">
        <v>0</v>
      </c>
      <c r="AF243" s="142">
        <v>0</v>
      </c>
      <c r="AG243" s="142">
        <v>0</v>
      </c>
      <c r="AH243" s="142">
        <v>0</v>
      </c>
      <c r="AI243" s="142">
        <v>0</v>
      </c>
      <c r="AJ243" s="142">
        <v>0</v>
      </c>
      <c r="AK243" s="142">
        <v>0</v>
      </c>
      <c r="AL243" s="142">
        <v>0</v>
      </c>
      <c r="AM243" s="142">
        <v>0</v>
      </c>
      <c r="AN243" s="142">
        <v>0</v>
      </c>
      <c r="AO243" s="142">
        <v>0</v>
      </c>
      <c r="AP243" s="142">
        <v>0</v>
      </c>
      <c r="AQ243" s="142">
        <v>0</v>
      </c>
      <c r="AR243" s="142">
        <v>0</v>
      </c>
      <c r="AS243" s="142">
        <v>0</v>
      </c>
      <c r="AT243" s="142">
        <v>0</v>
      </c>
      <c r="AU243" s="142">
        <v>0</v>
      </c>
      <c r="AV243" s="142">
        <v>0</v>
      </c>
      <c r="AW243" s="142">
        <v>0</v>
      </c>
    </row>
    <row r="244" spans="18:49" x14ac:dyDescent="0.25">
      <c r="R244" s="141">
        <f t="shared" si="5"/>
        <v>1821.3063457045057</v>
      </c>
      <c r="S244" s="142">
        <v>0</v>
      </c>
      <c r="T244" s="142">
        <v>0</v>
      </c>
      <c r="U244" s="142">
        <v>0</v>
      </c>
      <c r="V244" s="142">
        <v>0</v>
      </c>
      <c r="W244" s="142">
        <v>0</v>
      </c>
      <c r="X244" s="142">
        <v>0</v>
      </c>
      <c r="Y244" s="142">
        <v>0</v>
      </c>
      <c r="Z244" s="142">
        <v>0</v>
      </c>
      <c r="AA244" s="142">
        <v>0</v>
      </c>
      <c r="AB244" s="142">
        <v>0</v>
      </c>
      <c r="AC244" s="142">
        <v>0</v>
      </c>
      <c r="AD244" s="142">
        <v>0</v>
      </c>
      <c r="AE244" s="142">
        <v>0</v>
      </c>
      <c r="AF244" s="142">
        <v>0</v>
      </c>
      <c r="AG244" s="142">
        <v>0</v>
      </c>
      <c r="AH244" s="142">
        <v>0</v>
      </c>
      <c r="AI244" s="142">
        <v>0</v>
      </c>
      <c r="AJ244" s="142">
        <v>0</v>
      </c>
      <c r="AK244" s="142">
        <v>0</v>
      </c>
      <c r="AL244" s="142">
        <v>0</v>
      </c>
      <c r="AM244" s="142">
        <v>0</v>
      </c>
      <c r="AN244" s="142">
        <v>0</v>
      </c>
      <c r="AO244" s="142">
        <v>0</v>
      </c>
      <c r="AP244" s="142">
        <v>0</v>
      </c>
      <c r="AQ244" s="142">
        <v>0</v>
      </c>
      <c r="AR244" s="142">
        <v>0</v>
      </c>
      <c r="AS244" s="142">
        <v>0</v>
      </c>
      <c r="AT244" s="142">
        <v>0</v>
      </c>
      <c r="AU244" s="142">
        <v>0</v>
      </c>
      <c r="AV244" s="142">
        <v>0</v>
      </c>
      <c r="AW244" s="142">
        <v>0</v>
      </c>
    </row>
    <row r="245" spans="18:49" x14ac:dyDescent="0.25">
      <c r="R245" s="141">
        <f t="shared" si="5"/>
        <v>1878.2221690077715</v>
      </c>
      <c r="S245" s="142">
        <v>0</v>
      </c>
      <c r="T245" s="142">
        <v>0</v>
      </c>
      <c r="U245" s="142">
        <v>0</v>
      </c>
      <c r="V245" s="142">
        <v>0</v>
      </c>
      <c r="W245" s="142">
        <v>0</v>
      </c>
      <c r="X245" s="142">
        <v>0</v>
      </c>
      <c r="Y245" s="142">
        <v>0</v>
      </c>
      <c r="Z245" s="142">
        <v>0</v>
      </c>
      <c r="AA245" s="142">
        <v>0</v>
      </c>
      <c r="AB245" s="142">
        <v>0</v>
      </c>
      <c r="AC245" s="142">
        <v>0</v>
      </c>
      <c r="AD245" s="142">
        <v>0</v>
      </c>
      <c r="AE245" s="142">
        <v>0</v>
      </c>
      <c r="AF245" s="142">
        <v>0</v>
      </c>
      <c r="AG245" s="142">
        <v>0</v>
      </c>
      <c r="AH245" s="142">
        <v>0</v>
      </c>
      <c r="AI245" s="142">
        <v>0</v>
      </c>
      <c r="AJ245" s="142">
        <v>0</v>
      </c>
      <c r="AK245" s="142">
        <v>0</v>
      </c>
      <c r="AL245" s="142">
        <v>0</v>
      </c>
      <c r="AM245" s="142">
        <v>0</v>
      </c>
      <c r="AN245" s="142">
        <v>0</v>
      </c>
      <c r="AO245" s="142">
        <v>0</v>
      </c>
      <c r="AP245" s="142">
        <v>0</v>
      </c>
      <c r="AQ245" s="142">
        <v>0</v>
      </c>
      <c r="AR245" s="142">
        <v>0</v>
      </c>
      <c r="AS245" s="142">
        <v>0</v>
      </c>
      <c r="AT245" s="142">
        <v>0</v>
      </c>
      <c r="AU245" s="142">
        <v>0</v>
      </c>
      <c r="AV245" s="142">
        <v>0</v>
      </c>
      <c r="AW245" s="142">
        <v>0</v>
      </c>
    </row>
    <row r="246" spans="18:49" x14ac:dyDescent="0.25">
      <c r="R246" s="141">
        <f t="shared" si="5"/>
        <v>1935.1379923110374</v>
      </c>
      <c r="S246" s="142">
        <v>0</v>
      </c>
      <c r="T246" s="142">
        <v>0</v>
      </c>
      <c r="U246" s="142">
        <v>0</v>
      </c>
      <c r="V246" s="142">
        <v>0</v>
      </c>
      <c r="W246" s="142">
        <v>0</v>
      </c>
      <c r="X246" s="142">
        <v>0</v>
      </c>
      <c r="Y246" s="142">
        <v>0</v>
      </c>
      <c r="Z246" s="142">
        <v>0</v>
      </c>
      <c r="AA246" s="142">
        <v>0</v>
      </c>
      <c r="AB246" s="142">
        <v>0</v>
      </c>
      <c r="AC246" s="142">
        <v>0</v>
      </c>
      <c r="AD246" s="142">
        <v>0</v>
      </c>
      <c r="AE246" s="142">
        <v>0</v>
      </c>
      <c r="AF246" s="142">
        <v>0</v>
      </c>
      <c r="AG246" s="142">
        <v>0</v>
      </c>
      <c r="AH246" s="142">
        <v>0</v>
      </c>
      <c r="AI246" s="142">
        <v>0</v>
      </c>
      <c r="AJ246" s="142">
        <v>0</v>
      </c>
      <c r="AK246" s="142">
        <v>0</v>
      </c>
      <c r="AL246" s="142">
        <v>0</v>
      </c>
      <c r="AM246" s="142">
        <v>0</v>
      </c>
      <c r="AN246" s="142">
        <v>0</v>
      </c>
      <c r="AO246" s="142">
        <v>0</v>
      </c>
      <c r="AP246" s="142">
        <v>0</v>
      </c>
      <c r="AQ246" s="142">
        <v>0</v>
      </c>
      <c r="AR246" s="142">
        <v>0</v>
      </c>
      <c r="AS246" s="142">
        <v>0</v>
      </c>
      <c r="AT246" s="142">
        <v>0</v>
      </c>
      <c r="AU246" s="142">
        <v>0</v>
      </c>
      <c r="AV246" s="142">
        <v>0</v>
      </c>
      <c r="AW246" s="142">
        <v>0</v>
      </c>
    </row>
    <row r="247" spans="18:49" x14ac:dyDescent="0.25">
      <c r="R247" s="141">
        <f t="shared" si="5"/>
        <v>1992.0538156143032</v>
      </c>
      <c r="S247" s="142">
        <v>0</v>
      </c>
      <c r="T247" s="142">
        <v>0</v>
      </c>
      <c r="U247" s="142">
        <v>0</v>
      </c>
      <c r="V247" s="142">
        <v>0</v>
      </c>
      <c r="W247" s="142">
        <v>0</v>
      </c>
      <c r="X247" s="142">
        <v>0</v>
      </c>
      <c r="Y247" s="142">
        <v>0</v>
      </c>
      <c r="Z247" s="142">
        <v>0</v>
      </c>
      <c r="AA247" s="142">
        <v>0</v>
      </c>
      <c r="AB247" s="142">
        <v>0</v>
      </c>
      <c r="AC247" s="142">
        <v>0</v>
      </c>
      <c r="AD247" s="142">
        <v>0</v>
      </c>
      <c r="AE247" s="142">
        <v>0</v>
      </c>
      <c r="AF247" s="142">
        <v>0</v>
      </c>
      <c r="AG247" s="142">
        <v>0</v>
      </c>
      <c r="AH247" s="142">
        <v>0</v>
      </c>
      <c r="AI247" s="142">
        <v>0</v>
      </c>
      <c r="AJ247" s="142">
        <v>0</v>
      </c>
      <c r="AK247" s="142">
        <v>0</v>
      </c>
      <c r="AL247" s="142">
        <v>0</v>
      </c>
      <c r="AM247" s="142">
        <v>0</v>
      </c>
      <c r="AN247" s="142">
        <v>0</v>
      </c>
      <c r="AO247" s="142">
        <v>0</v>
      </c>
      <c r="AP247" s="142">
        <v>0</v>
      </c>
      <c r="AQ247" s="142">
        <v>0</v>
      </c>
      <c r="AR247" s="142">
        <v>0</v>
      </c>
      <c r="AS247" s="142">
        <v>0</v>
      </c>
      <c r="AT247" s="142">
        <v>0</v>
      </c>
      <c r="AU247" s="142">
        <v>0</v>
      </c>
      <c r="AV247" s="142">
        <v>0</v>
      </c>
      <c r="AW247" s="142">
        <v>0</v>
      </c>
    </row>
    <row r="248" spans="18:49" x14ac:dyDescent="0.25">
      <c r="R248" s="141">
        <f t="shared" si="5"/>
        <v>2048.9696389175692</v>
      </c>
      <c r="S248" s="142">
        <v>0</v>
      </c>
      <c r="T248" s="142">
        <v>0</v>
      </c>
      <c r="U248" s="142">
        <v>0</v>
      </c>
      <c r="V248" s="142">
        <v>0</v>
      </c>
      <c r="W248" s="142">
        <v>0</v>
      </c>
      <c r="X248" s="142">
        <v>0</v>
      </c>
      <c r="Y248" s="142">
        <v>0</v>
      </c>
      <c r="Z248" s="142">
        <v>0</v>
      </c>
      <c r="AA248" s="142">
        <v>0</v>
      </c>
      <c r="AB248" s="142">
        <v>0</v>
      </c>
      <c r="AC248" s="142">
        <v>0</v>
      </c>
      <c r="AD248" s="142">
        <v>0</v>
      </c>
      <c r="AE248" s="142">
        <v>0</v>
      </c>
      <c r="AF248" s="142">
        <v>0</v>
      </c>
      <c r="AG248" s="142">
        <v>0</v>
      </c>
      <c r="AH248" s="142">
        <v>0</v>
      </c>
      <c r="AI248" s="142">
        <v>0</v>
      </c>
      <c r="AJ248" s="142">
        <v>0</v>
      </c>
      <c r="AK248" s="142">
        <v>0</v>
      </c>
      <c r="AL248" s="142">
        <v>0</v>
      </c>
      <c r="AM248" s="142">
        <v>0</v>
      </c>
      <c r="AN248" s="142">
        <v>0</v>
      </c>
      <c r="AO248" s="142">
        <v>0</v>
      </c>
      <c r="AP248" s="142">
        <v>0</v>
      </c>
      <c r="AQ248" s="142">
        <v>0</v>
      </c>
      <c r="AR248" s="142">
        <v>0</v>
      </c>
      <c r="AS248" s="142">
        <v>0</v>
      </c>
      <c r="AT248" s="142">
        <v>0</v>
      </c>
      <c r="AU248" s="142">
        <v>0</v>
      </c>
      <c r="AV248" s="142">
        <v>0</v>
      </c>
      <c r="AW248" s="142">
        <v>0</v>
      </c>
    </row>
    <row r="249" spans="18:49" x14ac:dyDescent="0.25">
      <c r="R249" s="141">
        <f t="shared" si="5"/>
        <v>2105.8854622208351</v>
      </c>
      <c r="S249" s="142">
        <v>0</v>
      </c>
      <c r="T249" s="142">
        <v>0</v>
      </c>
      <c r="U249" s="142">
        <v>0</v>
      </c>
      <c r="V249" s="142">
        <v>0</v>
      </c>
      <c r="W249" s="142">
        <v>0</v>
      </c>
      <c r="X249" s="142">
        <v>0</v>
      </c>
      <c r="Y249" s="142">
        <v>0</v>
      </c>
      <c r="Z249" s="142">
        <v>0</v>
      </c>
      <c r="AA249" s="142">
        <v>0</v>
      </c>
      <c r="AB249" s="142">
        <v>0</v>
      </c>
      <c r="AC249" s="142">
        <v>0</v>
      </c>
      <c r="AD249" s="142">
        <v>0</v>
      </c>
      <c r="AE249" s="142">
        <v>0</v>
      </c>
      <c r="AF249" s="142">
        <v>0</v>
      </c>
      <c r="AG249" s="142">
        <v>0</v>
      </c>
      <c r="AH249" s="142">
        <v>0</v>
      </c>
      <c r="AI249" s="142">
        <v>0</v>
      </c>
      <c r="AJ249" s="142">
        <v>0</v>
      </c>
      <c r="AK249" s="142">
        <v>0</v>
      </c>
      <c r="AL249" s="142">
        <v>0</v>
      </c>
      <c r="AM249" s="142">
        <v>0</v>
      </c>
      <c r="AN249" s="142">
        <v>0</v>
      </c>
      <c r="AO249" s="142">
        <v>0</v>
      </c>
      <c r="AP249" s="142">
        <v>0</v>
      </c>
      <c r="AQ249" s="142">
        <v>0</v>
      </c>
      <c r="AR249" s="142">
        <v>0</v>
      </c>
      <c r="AS249" s="142">
        <v>0</v>
      </c>
      <c r="AT249" s="142">
        <v>0</v>
      </c>
      <c r="AU249" s="142">
        <v>0</v>
      </c>
      <c r="AV249" s="142">
        <v>0</v>
      </c>
      <c r="AW249" s="142">
        <v>0</v>
      </c>
    </row>
    <row r="250" spans="18:49" x14ac:dyDescent="0.25">
      <c r="R250" s="141">
        <f t="shared" si="5"/>
        <v>2162.8012855241009</v>
      </c>
      <c r="S250" s="142">
        <v>0</v>
      </c>
      <c r="T250" s="142">
        <v>0</v>
      </c>
      <c r="U250" s="142">
        <v>0</v>
      </c>
      <c r="V250" s="142">
        <v>0</v>
      </c>
      <c r="W250" s="142">
        <v>0</v>
      </c>
      <c r="X250" s="142">
        <v>0</v>
      </c>
      <c r="Y250" s="142">
        <v>0</v>
      </c>
      <c r="Z250" s="142">
        <v>0</v>
      </c>
      <c r="AA250" s="142">
        <v>0</v>
      </c>
      <c r="AB250" s="142">
        <v>0</v>
      </c>
      <c r="AC250" s="142">
        <v>0</v>
      </c>
      <c r="AD250" s="142">
        <v>0</v>
      </c>
      <c r="AE250" s="142">
        <v>0</v>
      </c>
      <c r="AF250" s="142">
        <v>0</v>
      </c>
      <c r="AG250" s="142">
        <v>0</v>
      </c>
      <c r="AH250" s="142">
        <v>0</v>
      </c>
      <c r="AI250" s="142">
        <v>0</v>
      </c>
      <c r="AJ250" s="142">
        <v>0</v>
      </c>
      <c r="AK250" s="142">
        <v>0</v>
      </c>
      <c r="AL250" s="142">
        <v>0</v>
      </c>
      <c r="AM250" s="142">
        <v>0</v>
      </c>
      <c r="AN250" s="142">
        <v>0</v>
      </c>
      <c r="AO250" s="142">
        <v>0</v>
      </c>
      <c r="AP250" s="142">
        <v>0</v>
      </c>
      <c r="AQ250" s="142">
        <v>0</v>
      </c>
      <c r="AR250" s="142">
        <v>0</v>
      </c>
      <c r="AS250" s="142">
        <v>0</v>
      </c>
      <c r="AT250" s="142">
        <v>0</v>
      </c>
      <c r="AU250" s="142">
        <v>0</v>
      </c>
      <c r="AV250" s="142">
        <v>0</v>
      </c>
      <c r="AW250" s="142">
        <v>0</v>
      </c>
    </row>
    <row r="251" spans="18:49" x14ac:dyDescent="0.25">
      <c r="R251" s="141">
        <f t="shared" si="5"/>
        <v>2219.7171088273667</v>
      </c>
      <c r="S251" s="142">
        <v>0</v>
      </c>
      <c r="T251" s="142">
        <v>0</v>
      </c>
      <c r="U251" s="142">
        <v>0</v>
      </c>
      <c r="V251" s="142">
        <v>0</v>
      </c>
      <c r="W251" s="142">
        <v>0</v>
      </c>
      <c r="X251" s="142">
        <v>0</v>
      </c>
      <c r="Y251" s="142">
        <v>0</v>
      </c>
      <c r="Z251" s="142">
        <v>0</v>
      </c>
      <c r="AA251" s="142">
        <v>0</v>
      </c>
      <c r="AB251" s="142">
        <v>0</v>
      </c>
      <c r="AC251" s="142">
        <v>0</v>
      </c>
      <c r="AD251" s="142">
        <v>0</v>
      </c>
      <c r="AE251" s="142">
        <v>0</v>
      </c>
      <c r="AF251" s="142">
        <v>0</v>
      </c>
      <c r="AG251" s="142">
        <v>0</v>
      </c>
      <c r="AH251" s="142">
        <v>0</v>
      </c>
      <c r="AI251" s="142">
        <v>0</v>
      </c>
      <c r="AJ251" s="142">
        <v>0</v>
      </c>
      <c r="AK251" s="142">
        <v>0</v>
      </c>
      <c r="AL251" s="142">
        <v>0</v>
      </c>
      <c r="AM251" s="142">
        <v>0</v>
      </c>
      <c r="AN251" s="142">
        <v>0</v>
      </c>
      <c r="AO251" s="142">
        <v>0</v>
      </c>
      <c r="AP251" s="142">
        <v>0</v>
      </c>
      <c r="AQ251" s="142">
        <v>0</v>
      </c>
      <c r="AR251" s="142">
        <v>0</v>
      </c>
      <c r="AS251" s="142">
        <v>0</v>
      </c>
      <c r="AT251" s="142">
        <v>0</v>
      </c>
      <c r="AU251" s="142">
        <v>0</v>
      </c>
      <c r="AV251" s="142">
        <v>0</v>
      </c>
      <c r="AW251" s="142">
        <v>0</v>
      </c>
    </row>
    <row r="252" spans="18:49" x14ac:dyDescent="0.25">
      <c r="R252" s="141">
        <f t="shared" si="5"/>
        <v>2276.6329321306321</v>
      </c>
      <c r="S252" s="142">
        <v>0</v>
      </c>
      <c r="T252" s="142">
        <v>0</v>
      </c>
      <c r="U252" s="142">
        <v>0</v>
      </c>
      <c r="V252" s="142">
        <v>0</v>
      </c>
      <c r="W252" s="142">
        <v>0</v>
      </c>
      <c r="X252" s="142">
        <v>0</v>
      </c>
      <c r="Y252" s="142">
        <v>0</v>
      </c>
      <c r="Z252" s="142">
        <v>0</v>
      </c>
      <c r="AA252" s="142">
        <v>0</v>
      </c>
      <c r="AB252" s="142">
        <v>0</v>
      </c>
      <c r="AC252" s="142">
        <v>0</v>
      </c>
      <c r="AD252" s="142">
        <v>0</v>
      </c>
      <c r="AE252" s="142">
        <v>0</v>
      </c>
      <c r="AF252" s="142">
        <v>0</v>
      </c>
      <c r="AG252" s="142">
        <v>0</v>
      </c>
      <c r="AH252" s="142">
        <v>0</v>
      </c>
      <c r="AI252" s="142">
        <v>0</v>
      </c>
      <c r="AJ252" s="142">
        <v>0</v>
      </c>
      <c r="AK252" s="142">
        <v>0</v>
      </c>
      <c r="AL252" s="142">
        <v>0</v>
      </c>
      <c r="AM252" s="142">
        <v>0</v>
      </c>
      <c r="AN252" s="142">
        <v>0</v>
      </c>
      <c r="AO252" s="142">
        <v>0</v>
      </c>
      <c r="AP252" s="142">
        <v>0</v>
      </c>
      <c r="AQ252" s="142">
        <v>0</v>
      </c>
      <c r="AR252" s="142">
        <v>0</v>
      </c>
      <c r="AS252" s="142">
        <v>0</v>
      </c>
      <c r="AT252" s="142">
        <v>0</v>
      </c>
      <c r="AU252" s="142">
        <v>0</v>
      </c>
      <c r="AV252" s="142">
        <v>0</v>
      </c>
      <c r="AW252" s="142">
        <v>0</v>
      </c>
    </row>
    <row r="253" spans="18:49" x14ac:dyDescent="0.25">
      <c r="R253" s="141">
        <f t="shared" si="5"/>
        <v>2333.5487554338979</v>
      </c>
      <c r="S253" s="142">
        <v>0</v>
      </c>
      <c r="T253" s="142">
        <v>0</v>
      </c>
      <c r="U253" s="142">
        <v>0</v>
      </c>
      <c r="V253" s="142">
        <v>0</v>
      </c>
      <c r="W253" s="142">
        <v>0</v>
      </c>
      <c r="X253" s="142">
        <v>0</v>
      </c>
      <c r="Y253" s="142">
        <v>0</v>
      </c>
      <c r="Z253" s="142">
        <v>0</v>
      </c>
      <c r="AA253" s="142">
        <v>0</v>
      </c>
      <c r="AB253" s="142">
        <v>0</v>
      </c>
      <c r="AC253" s="142">
        <v>0</v>
      </c>
      <c r="AD253" s="142">
        <v>0</v>
      </c>
      <c r="AE253" s="142">
        <v>0</v>
      </c>
      <c r="AF253" s="142">
        <v>0</v>
      </c>
      <c r="AG253" s="142">
        <v>0</v>
      </c>
      <c r="AH253" s="142">
        <v>0</v>
      </c>
      <c r="AI253" s="142">
        <v>0</v>
      </c>
      <c r="AJ253" s="142">
        <v>0</v>
      </c>
      <c r="AK253" s="142">
        <v>0</v>
      </c>
      <c r="AL253" s="142">
        <v>0</v>
      </c>
      <c r="AM253" s="142">
        <v>0</v>
      </c>
      <c r="AN253" s="142">
        <v>0</v>
      </c>
      <c r="AO253" s="142">
        <v>0</v>
      </c>
      <c r="AP253" s="142">
        <v>0</v>
      </c>
      <c r="AQ253" s="142">
        <v>0</v>
      </c>
      <c r="AR253" s="142">
        <v>0</v>
      </c>
      <c r="AS253" s="142">
        <v>0</v>
      </c>
      <c r="AT253" s="142">
        <v>0</v>
      </c>
      <c r="AU253" s="142">
        <v>0</v>
      </c>
      <c r="AV253" s="142">
        <v>0</v>
      </c>
      <c r="AW253" s="142">
        <v>0</v>
      </c>
    </row>
    <row r="254" spans="18:49" x14ac:dyDescent="0.25">
      <c r="R254" s="141">
        <f t="shared" si="5"/>
        <v>2390.4645787371637</v>
      </c>
      <c r="S254" s="142">
        <v>0</v>
      </c>
      <c r="T254" s="142">
        <v>0</v>
      </c>
      <c r="U254" s="142">
        <v>0</v>
      </c>
      <c r="V254" s="142">
        <v>0</v>
      </c>
      <c r="W254" s="142">
        <v>0</v>
      </c>
      <c r="X254" s="142">
        <v>0</v>
      </c>
      <c r="Y254" s="142">
        <v>0</v>
      </c>
      <c r="Z254" s="142">
        <v>0</v>
      </c>
      <c r="AA254" s="142">
        <v>0</v>
      </c>
      <c r="AB254" s="142">
        <v>0</v>
      </c>
      <c r="AC254" s="142">
        <v>0</v>
      </c>
      <c r="AD254" s="142">
        <v>0</v>
      </c>
      <c r="AE254" s="142">
        <v>0</v>
      </c>
      <c r="AF254" s="142">
        <v>0</v>
      </c>
      <c r="AG254" s="142">
        <v>0</v>
      </c>
      <c r="AH254" s="142">
        <v>0</v>
      </c>
      <c r="AI254" s="142">
        <v>0</v>
      </c>
      <c r="AJ254" s="142">
        <v>0</v>
      </c>
      <c r="AK254" s="142">
        <v>0</v>
      </c>
      <c r="AL254" s="142">
        <v>0</v>
      </c>
      <c r="AM254" s="142">
        <v>0</v>
      </c>
      <c r="AN254" s="142">
        <v>0</v>
      </c>
      <c r="AO254" s="142">
        <v>0</v>
      </c>
      <c r="AP254" s="142">
        <v>0</v>
      </c>
      <c r="AQ254" s="142">
        <v>0</v>
      </c>
      <c r="AR254" s="142">
        <v>0</v>
      </c>
      <c r="AS254" s="142">
        <v>0</v>
      </c>
      <c r="AT254" s="142">
        <v>0</v>
      </c>
      <c r="AU254" s="142">
        <v>0</v>
      </c>
      <c r="AV254" s="142">
        <v>0</v>
      </c>
      <c r="AW254" s="142">
        <v>0</v>
      </c>
    </row>
    <row r="255" spans="18:49" x14ac:dyDescent="0.25">
      <c r="R255" s="141">
        <f t="shared" si="5"/>
        <v>2447.3804020404295</v>
      </c>
      <c r="S255" s="142">
        <v>0</v>
      </c>
      <c r="T255" s="142">
        <v>0</v>
      </c>
      <c r="U255" s="142">
        <v>0</v>
      </c>
      <c r="V255" s="142">
        <v>0</v>
      </c>
      <c r="W255" s="142">
        <v>0</v>
      </c>
      <c r="X255" s="142">
        <v>0</v>
      </c>
      <c r="Y255" s="142">
        <v>0</v>
      </c>
      <c r="Z255" s="142">
        <v>0</v>
      </c>
      <c r="AA255" s="142">
        <v>0</v>
      </c>
      <c r="AB255" s="142">
        <v>0</v>
      </c>
      <c r="AC255" s="142">
        <v>0</v>
      </c>
      <c r="AD255" s="142">
        <v>0</v>
      </c>
      <c r="AE255" s="142">
        <v>0</v>
      </c>
      <c r="AF255" s="142">
        <v>0</v>
      </c>
      <c r="AG255" s="142">
        <v>0</v>
      </c>
      <c r="AH255" s="142">
        <v>0</v>
      </c>
      <c r="AI255" s="142">
        <v>0</v>
      </c>
      <c r="AJ255" s="142">
        <v>0</v>
      </c>
      <c r="AK255" s="142">
        <v>0</v>
      </c>
      <c r="AL255" s="142">
        <v>0</v>
      </c>
      <c r="AM255" s="142">
        <v>0</v>
      </c>
      <c r="AN255" s="142">
        <v>0</v>
      </c>
      <c r="AO255" s="142">
        <v>0</v>
      </c>
      <c r="AP255" s="142">
        <v>0</v>
      </c>
      <c r="AQ255" s="142">
        <v>0</v>
      </c>
      <c r="AR255" s="142">
        <v>0</v>
      </c>
      <c r="AS255" s="142">
        <v>0</v>
      </c>
      <c r="AT255" s="142">
        <v>0</v>
      </c>
      <c r="AU255" s="142">
        <v>0</v>
      </c>
      <c r="AV255" s="142">
        <v>0</v>
      </c>
      <c r="AW255" s="142">
        <v>0</v>
      </c>
    </row>
    <row r="256" spans="18:49" x14ac:dyDescent="0.25">
      <c r="R256" s="141">
        <f t="shared" si="5"/>
        <v>2504.2962253436954</v>
      </c>
      <c r="S256" s="142">
        <v>0</v>
      </c>
      <c r="T256" s="142">
        <v>0</v>
      </c>
      <c r="U256" s="142">
        <v>0</v>
      </c>
      <c r="V256" s="142">
        <v>0</v>
      </c>
      <c r="W256" s="142">
        <v>0</v>
      </c>
      <c r="X256" s="142">
        <v>0</v>
      </c>
      <c r="Y256" s="142">
        <v>0</v>
      </c>
      <c r="Z256" s="142">
        <v>0</v>
      </c>
      <c r="AA256" s="142">
        <v>0</v>
      </c>
      <c r="AB256" s="142">
        <v>0</v>
      </c>
      <c r="AC256" s="142">
        <v>0</v>
      </c>
      <c r="AD256" s="142">
        <v>0</v>
      </c>
      <c r="AE256" s="142">
        <v>0</v>
      </c>
      <c r="AF256" s="142">
        <v>0</v>
      </c>
      <c r="AG256" s="142">
        <v>0</v>
      </c>
      <c r="AH256" s="142">
        <v>0</v>
      </c>
      <c r="AI256" s="142">
        <v>0</v>
      </c>
      <c r="AJ256" s="142">
        <v>0</v>
      </c>
      <c r="AK256" s="142">
        <v>0</v>
      </c>
      <c r="AL256" s="142">
        <v>0</v>
      </c>
      <c r="AM256" s="142">
        <v>0</v>
      </c>
      <c r="AN256" s="142">
        <v>0</v>
      </c>
      <c r="AO256" s="142">
        <v>0</v>
      </c>
      <c r="AP256" s="142">
        <v>0</v>
      </c>
      <c r="AQ256" s="142">
        <v>0</v>
      </c>
      <c r="AR256" s="142">
        <v>0</v>
      </c>
      <c r="AS256" s="142">
        <v>0</v>
      </c>
      <c r="AT256" s="142">
        <v>0</v>
      </c>
      <c r="AU256" s="142">
        <v>0</v>
      </c>
      <c r="AV256" s="142">
        <v>0</v>
      </c>
      <c r="AW256" s="142">
        <v>0</v>
      </c>
    </row>
    <row r="257" spans="18:49" x14ac:dyDescent="0.25">
      <c r="R257" s="141">
        <f t="shared" si="5"/>
        <v>2561.2120486469612</v>
      </c>
      <c r="S257" s="142">
        <v>0</v>
      </c>
      <c r="T257" s="142">
        <v>0</v>
      </c>
      <c r="U257" s="142">
        <v>0</v>
      </c>
      <c r="V257" s="142">
        <v>0</v>
      </c>
      <c r="W257" s="142">
        <v>0</v>
      </c>
      <c r="X257" s="142">
        <v>0</v>
      </c>
      <c r="Y257" s="142">
        <v>0</v>
      </c>
      <c r="Z257" s="142">
        <v>0</v>
      </c>
      <c r="AA257" s="142">
        <v>0</v>
      </c>
      <c r="AB257" s="142">
        <v>0</v>
      </c>
      <c r="AC257" s="142">
        <v>0</v>
      </c>
      <c r="AD257" s="142">
        <v>0</v>
      </c>
      <c r="AE257" s="142">
        <v>0</v>
      </c>
      <c r="AF257" s="142">
        <v>0</v>
      </c>
      <c r="AG257" s="142">
        <v>0</v>
      </c>
      <c r="AH257" s="142">
        <v>0</v>
      </c>
      <c r="AI257" s="142">
        <v>0</v>
      </c>
      <c r="AJ257" s="142">
        <v>0</v>
      </c>
      <c r="AK257" s="142">
        <v>0</v>
      </c>
      <c r="AL257" s="142">
        <v>0</v>
      </c>
      <c r="AM257" s="142">
        <v>0</v>
      </c>
      <c r="AN257" s="142">
        <v>0</v>
      </c>
      <c r="AO257" s="142">
        <v>0</v>
      </c>
      <c r="AP257" s="142">
        <v>0</v>
      </c>
      <c r="AQ257" s="142">
        <v>0</v>
      </c>
      <c r="AR257" s="142">
        <v>0</v>
      </c>
      <c r="AS257" s="142">
        <v>0</v>
      </c>
      <c r="AT257" s="142">
        <v>0</v>
      </c>
      <c r="AU257" s="142">
        <v>0</v>
      </c>
      <c r="AV257" s="142">
        <v>0</v>
      </c>
      <c r="AW257" s="142">
        <v>0</v>
      </c>
    </row>
    <row r="258" spans="18:49" x14ac:dyDescent="0.25">
      <c r="R258" s="141">
        <f t="shared" si="5"/>
        <v>2618.1278719502275</v>
      </c>
      <c r="S258" s="142">
        <v>0</v>
      </c>
      <c r="T258" s="142">
        <v>0</v>
      </c>
      <c r="U258" s="142">
        <v>0</v>
      </c>
      <c r="V258" s="142">
        <v>0</v>
      </c>
      <c r="W258" s="142">
        <v>0</v>
      </c>
      <c r="X258" s="142">
        <v>0</v>
      </c>
      <c r="Y258" s="142">
        <v>0</v>
      </c>
      <c r="Z258" s="142">
        <v>0</v>
      </c>
      <c r="AA258" s="142">
        <v>0</v>
      </c>
      <c r="AB258" s="142">
        <v>0</v>
      </c>
      <c r="AC258" s="142">
        <v>0</v>
      </c>
      <c r="AD258" s="142">
        <v>0</v>
      </c>
      <c r="AE258" s="142">
        <v>0</v>
      </c>
      <c r="AF258" s="142">
        <v>0</v>
      </c>
      <c r="AG258" s="142">
        <v>0</v>
      </c>
      <c r="AH258" s="142">
        <v>0</v>
      </c>
      <c r="AI258" s="142">
        <v>0</v>
      </c>
      <c r="AJ258" s="142">
        <v>0</v>
      </c>
      <c r="AK258" s="142">
        <v>0</v>
      </c>
      <c r="AL258" s="142">
        <v>0</v>
      </c>
      <c r="AM258" s="142">
        <v>0</v>
      </c>
      <c r="AN258" s="142">
        <v>0</v>
      </c>
      <c r="AO258" s="142">
        <v>0</v>
      </c>
      <c r="AP258" s="142">
        <v>0</v>
      </c>
      <c r="AQ258" s="142">
        <v>0</v>
      </c>
      <c r="AR258" s="142">
        <v>0</v>
      </c>
      <c r="AS258" s="142">
        <v>0</v>
      </c>
      <c r="AT258" s="142">
        <v>0</v>
      </c>
      <c r="AU258" s="142">
        <v>0</v>
      </c>
      <c r="AV258" s="142">
        <v>0</v>
      </c>
      <c r="AW258" s="142">
        <v>0</v>
      </c>
    </row>
    <row r="259" spans="18:49" x14ac:dyDescent="0.25">
      <c r="R259" s="141">
        <f t="shared" si="5"/>
        <v>2675.0436952534928</v>
      </c>
      <c r="S259" s="142">
        <v>0</v>
      </c>
      <c r="T259" s="142">
        <v>0</v>
      </c>
      <c r="U259" s="142">
        <v>0</v>
      </c>
      <c r="V259" s="142">
        <v>0</v>
      </c>
      <c r="W259" s="142">
        <v>0</v>
      </c>
      <c r="X259" s="142">
        <v>0</v>
      </c>
      <c r="Y259" s="142">
        <v>0</v>
      </c>
      <c r="Z259" s="142">
        <v>0</v>
      </c>
      <c r="AA259" s="142">
        <v>0</v>
      </c>
      <c r="AB259" s="142">
        <v>0</v>
      </c>
      <c r="AC259" s="142">
        <v>0</v>
      </c>
      <c r="AD259" s="142">
        <v>0</v>
      </c>
      <c r="AE259" s="142">
        <v>0</v>
      </c>
      <c r="AF259" s="142">
        <v>0</v>
      </c>
      <c r="AG259" s="142">
        <v>0</v>
      </c>
      <c r="AH259" s="142">
        <v>0</v>
      </c>
      <c r="AI259" s="142">
        <v>0</v>
      </c>
      <c r="AJ259" s="142">
        <v>0</v>
      </c>
      <c r="AK259" s="142">
        <v>0</v>
      </c>
      <c r="AL259" s="142">
        <v>0</v>
      </c>
      <c r="AM259" s="142">
        <v>0</v>
      </c>
      <c r="AN259" s="142">
        <v>0</v>
      </c>
      <c r="AO259" s="142">
        <v>0</v>
      </c>
      <c r="AP259" s="142">
        <v>0</v>
      </c>
      <c r="AQ259" s="142">
        <v>0</v>
      </c>
      <c r="AR259" s="142">
        <v>0</v>
      </c>
      <c r="AS259" s="142">
        <v>0</v>
      </c>
      <c r="AT259" s="142">
        <v>0</v>
      </c>
      <c r="AU259" s="142">
        <v>0</v>
      </c>
      <c r="AV259" s="142">
        <v>0</v>
      </c>
      <c r="AW259" s="142">
        <v>0</v>
      </c>
    </row>
    <row r="260" spans="18:49" x14ac:dyDescent="0.25">
      <c r="R260" s="141">
        <f t="shared" si="5"/>
        <v>2731.9595185567591</v>
      </c>
      <c r="S260" s="142">
        <v>0</v>
      </c>
      <c r="T260" s="142">
        <v>0</v>
      </c>
      <c r="U260" s="142">
        <v>0</v>
      </c>
      <c r="V260" s="142">
        <v>0</v>
      </c>
      <c r="W260" s="142">
        <v>0</v>
      </c>
      <c r="X260" s="142">
        <v>0</v>
      </c>
      <c r="Y260" s="142">
        <v>0</v>
      </c>
      <c r="Z260" s="142">
        <v>0</v>
      </c>
      <c r="AA260" s="142">
        <v>0</v>
      </c>
      <c r="AB260" s="142">
        <v>0</v>
      </c>
      <c r="AC260" s="142">
        <v>0</v>
      </c>
      <c r="AD260" s="142">
        <v>0</v>
      </c>
      <c r="AE260" s="142">
        <v>0</v>
      </c>
      <c r="AF260" s="142">
        <v>0</v>
      </c>
      <c r="AG260" s="142">
        <v>0</v>
      </c>
      <c r="AH260" s="142">
        <v>0</v>
      </c>
      <c r="AI260" s="142">
        <v>0</v>
      </c>
      <c r="AJ260" s="142">
        <v>0</v>
      </c>
      <c r="AK260" s="142">
        <v>0</v>
      </c>
      <c r="AL260" s="142">
        <v>0</v>
      </c>
      <c r="AM260" s="142">
        <v>0</v>
      </c>
      <c r="AN260" s="142">
        <v>0</v>
      </c>
      <c r="AO260" s="142">
        <v>0</v>
      </c>
      <c r="AP260" s="142">
        <v>0</v>
      </c>
      <c r="AQ260" s="142">
        <v>0</v>
      </c>
      <c r="AR260" s="142">
        <v>0</v>
      </c>
      <c r="AS260" s="142">
        <v>0</v>
      </c>
      <c r="AT260" s="142">
        <v>0</v>
      </c>
      <c r="AU260" s="142">
        <v>0</v>
      </c>
      <c r="AV260" s="142">
        <v>0</v>
      </c>
      <c r="AW260" s="142">
        <v>0</v>
      </c>
    </row>
    <row r="261" spans="18:49" x14ac:dyDescent="0.25">
      <c r="R261" s="141">
        <f t="shared" si="5"/>
        <v>2788.8753418600245</v>
      </c>
      <c r="S261" s="142">
        <v>0</v>
      </c>
      <c r="T261" s="142">
        <v>0</v>
      </c>
      <c r="U261" s="142">
        <v>0</v>
      </c>
      <c r="V261" s="142">
        <v>0</v>
      </c>
      <c r="W261" s="142">
        <v>0</v>
      </c>
      <c r="X261" s="142">
        <v>0</v>
      </c>
      <c r="Y261" s="142">
        <v>0</v>
      </c>
      <c r="Z261" s="142">
        <v>0</v>
      </c>
      <c r="AA261" s="142">
        <v>0</v>
      </c>
      <c r="AB261" s="142">
        <v>0</v>
      </c>
      <c r="AC261" s="142">
        <v>0</v>
      </c>
      <c r="AD261" s="142">
        <v>0</v>
      </c>
      <c r="AE261" s="142">
        <v>0</v>
      </c>
      <c r="AF261" s="142">
        <v>0</v>
      </c>
      <c r="AG261" s="142">
        <v>0</v>
      </c>
      <c r="AH261" s="142">
        <v>0</v>
      </c>
      <c r="AI261" s="142">
        <v>0</v>
      </c>
      <c r="AJ261" s="142">
        <v>0</v>
      </c>
      <c r="AK261" s="142">
        <v>0</v>
      </c>
      <c r="AL261" s="142">
        <v>0</v>
      </c>
      <c r="AM261" s="142">
        <v>0</v>
      </c>
      <c r="AN261" s="142">
        <v>0</v>
      </c>
      <c r="AO261" s="142">
        <v>0</v>
      </c>
      <c r="AP261" s="142">
        <v>0</v>
      </c>
      <c r="AQ261" s="142">
        <v>0</v>
      </c>
      <c r="AR261" s="142">
        <v>0</v>
      </c>
      <c r="AS261" s="142">
        <v>0</v>
      </c>
      <c r="AT261" s="142">
        <v>0</v>
      </c>
      <c r="AU261" s="142">
        <v>0</v>
      </c>
      <c r="AV261" s="142">
        <v>0</v>
      </c>
      <c r="AW261" s="142">
        <v>0</v>
      </c>
    </row>
    <row r="262" spans="18:49" x14ac:dyDescent="0.25">
      <c r="R262" s="141">
        <f t="shared" si="5"/>
        <v>2845.7911651632903</v>
      </c>
      <c r="S262" s="142">
        <v>0</v>
      </c>
      <c r="T262" s="142">
        <v>0</v>
      </c>
      <c r="U262" s="142">
        <v>0</v>
      </c>
      <c r="V262" s="142">
        <v>0</v>
      </c>
      <c r="W262" s="142">
        <v>0</v>
      </c>
      <c r="X262" s="142">
        <v>0</v>
      </c>
      <c r="Y262" s="142">
        <v>0</v>
      </c>
      <c r="Z262" s="142">
        <v>0</v>
      </c>
      <c r="AA262" s="142">
        <v>0</v>
      </c>
      <c r="AB262" s="142">
        <v>0</v>
      </c>
      <c r="AC262" s="142">
        <v>0</v>
      </c>
      <c r="AD262" s="142">
        <v>0</v>
      </c>
      <c r="AE262" s="142">
        <v>0</v>
      </c>
      <c r="AF262" s="142">
        <v>0</v>
      </c>
      <c r="AG262" s="142">
        <v>0</v>
      </c>
      <c r="AH262" s="142">
        <v>0</v>
      </c>
      <c r="AI262" s="142">
        <v>0</v>
      </c>
      <c r="AJ262" s="142">
        <v>0</v>
      </c>
      <c r="AK262" s="142">
        <v>0</v>
      </c>
      <c r="AL262" s="142">
        <v>0</v>
      </c>
      <c r="AM262" s="142">
        <v>0</v>
      </c>
      <c r="AN262" s="142">
        <v>0</v>
      </c>
      <c r="AO262" s="142">
        <v>0</v>
      </c>
      <c r="AP262" s="142">
        <v>0</v>
      </c>
      <c r="AQ262" s="142">
        <v>0</v>
      </c>
      <c r="AR262" s="142">
        <v>0</v>
      </c>
      <c r="AS262" s="142">
        <v>0</v>
      </c>
      <c r="AT262" s="142">
        <v>0</v>
      </c>
      <c r="AU262" s="142">
        <v>0</v>
      </c>
      <c r="AV262" s="142">
        <v>0</v>
      </c>
      <c r="AW262" s="142">
        <v>0</v>
      </c>
    </row>
    <row r="263" spans="18:49" x14ac:dyDescent="0.25">
      <c r="R263" s="141">
        <f t="shared" si="5"/>
        <v>2902.7069884665561</v>
      </c>
      <c r="S263" s="142">
        <v>0</v>
      </c>
      <c r="T263" s="142">
        <v>0</v>
      </c>
      <c r="U263" s="142">
        <v>0</v>
      </c>
      <c r="V263" s="142">
        <v>0</v>
      </c>
      <c r="W263" s="142">
        <v>0</v>
      </c>
      <c r="X263" s="142">
        <v>0</v>
      </c>
      <c r="Y263" s="142">
        <v>0</v>
      </c>
      <c r="Z263" s="142">
        <v>0</v>
      </c>
      <c r="AA263" s="142">
        <v>0</v>
      </c>
      <c r="AB263" s="142">
        <v>0</v>
      </c>
      <c r="AC263" s="142">
        <v>0</v>
      </c>
      <c r="AD263" s="142">
        <v>0</v>
      </c>
      <c r="AE263" s="142">
        <v>0</v>
      </c>
      <c r="AF263" s="142">
        <v>0</v>
      </c>
      <c r="AG263" s="142">
        <v>0</v>
      </c>
      <c r="AH263" s="142">
        <v>0</v>
      </c>
      <c r="AI263" s="142">
        <v>0</v>
      </c>
      <c r="AJ263" s="142">
        <v>0</v>
      </c>
      <c r="AK263" s="142">
        <v>0</v>
      </c>
      <c r="AL263" s="142">
        <v>0</v>
      </c>
      <c r="AM263" s="142">
        <v>0</v>
      </c>
      <c r="AN263" s="142">
        <v>0</v>
      </c>
      <c r="AO263" s="142">
        <v>0</v>
      </c>
      <c r="AP263" s="142">
        <v>0</v>
      </c>
      <c r="AQ263" s="142">
        <v>0</v>
      </c>
      <c r="AR263" s="142">
        <v>0</v>
      </c>
      <c r="AS263" s="142">
        <v>0</v>
      </c>
      <c r="AT263" s="142">
        <v>0</v>
      </c>
      <c r="AU263" s="142">
        <v>0</v>
      </c>
      <c r="AV263" s="142">
        <v>0</v>
      </c>
      <c r="AW263" s="142">
        <v>0</v>
      </c>
    </row>
    <row r="264" spans="18:49" x14ac:dyDescent="0.25">
      <c r="R264" s="141">
        <f t="shared" si="5"/>
        <v>2959.622811769822</v>
      </c>
      <c r="S264" s="142">
        <v>0</v>
      </c>
      <c r="T264" s="142">
        <v>0</v>
      </c>
      <c r="U264" s="142">
        <v>0</v>
      </c>
      <c r="V264" s="142">
        <v>0</v>
      </c>
      <c r="W264" s="142">
        <v>0</v>
      </c>
      <c r="X264" s="142">
        <v>0</v>
      </c>
      <c r="Y264" s="142">
        <v>0</v>
      </c>
      <c r="Z264" s="142">
        <v>0</v>
      </c>
      <c r="AA264" s="142">
        <v>0</v>
      </c>
      <c r="AB264" s="142">
        <v>0</v>
      </c>
      <c r="AC264" s="142">
        <v>0</v>
      </c>
      <c r="AD264" s="142">
        <v>0</v>
      </c>
      <c r="AE264" s="142">
        <v>0</v>
      </c>
      <c r="AF264" s="142">
        <v>0</v>
      </c>
      <c r="AG264" s="142">
        <v>0</v>
      </c>
      <c r="AH264" s="142">
        <v>0</v>
      </c>
      <c r="AI264" s="142">
        <v>0</v>
      </c>
      <c r="AJ264" s="142">
        <v>0</v>
      </c>
      <c r="AK264" s="142">
        <v>0</v>
      </c>
      <c r="AL264" s="142">
        <v>0</v>
      </c>
      <c r="AM264" s="142">
        <v>0</v>
      </c>
      <c r="AN264" s="142">
        <v>0</v>
      </c>
      <c r="AO264" s="142">
        <v>0</v>
      </c>
      <c r="AP264" s="142">
        <v>0</v>
      </c>
      <c r="AQ264" s="142">
        <v>0</v>
      </c>
      <c r="AR264" s="142">
        <v>0</v>
      </c>
      <c r="AS264" s="142">
        <v>0</v>
      </c>
      <c r="AT264" s="142">
        <v>0</v>
      </c>
      <c r="AU264" s="142">
        <v>0</v>
      </c>
      <c r="AV264" s="142">
        <v>0</v>
      </c>
      <c r="AW264" s="142">
        <v>0</v>
      </c>
    </row>
    <row r="265" spans="18:49" x14ac:dyDescent="0.25">
      <c r="R265" s="141">
        <f t="shared" si="5"/>
        <v>3016.5386350730882</v>
      </c>
      <c r="S265" s="142">
        <v>0</v>
      </c>
      <c r="T265" s="142">
        <v>0</v>
      </c>
      <c r="U265" s="142">
        <v>0</v>
      </c>
      <c r="V265" s="142">
        <v>0</v>
      </c>
      <c r="W265" s="142">
        <v>0</v>
      </c>
      <c r="X265" s="142">
        <v>0</v>
      </c>
      <c r="Y265" s="142">
        <v>0</v>
      </c>
      <c r="Z265" s="142">
        <v>0</v>
      </c>
      <c r="AA265" s="142">
        <v>0</v>
      </c>
      <c r="AB265" s="142">
        <v>0</v>
      </c>
      <c r="AC265" s="142">
        <v>0</v>
      </c>
      <c r="AD265" s="142">
        <v>0</v>
      </c>
      <c r="AE265" s="142">
        <v>0</v>
      </c>
      <c r="AF265" s="142">
        <v>0</v>
      </c>
      <c r="AG265" s="142">
        <v>0</v>
      </c>
      <c r="AH265" s="142">
        <v>0</v>
      </c>
      <c r="AI265" s="142">
        <v>0</v>
      </c>
      <c r="AJ265" s="142">
        <v>0</v>
      </c>
      <c r="AK265" s="142">
        <v>0</v>
      </c>
      <c r="AL265" s="142">
        <v>0</v>
      </c>
      <c r="AM265" s="142">
        <v>0</v>
      </c>
      <c r="AN265" s="142">
        <v>0</v>
      </c>
      <c r="AO265" s="142">
        <v>0</v>
      </c>
      <c r="AP265" s="142">
        <v>0</v>
      </c>
      <c r="AQ265" s="142">
        <v>0</v>
      </c>
      <c r="AR265" s="142">
        <v>0</v>
      </c>
      <c r="AS265" s="142">
        <v>0</v>
      </c>
      <c r="AT265" s="142">
        <v>0</v>
      </c>
      <c r="AU265" s="142">
        <v>0</v>
      </c>
      <c r="AV265" s="142">
        <v>0</v>
      </c>
      <c r="AW265" s="142">
        <v>0</v>
      </c>
    </row>
    <row r="266" spans="18:49" x14ac:dyDescent="0.25">
      <c r="R266" s="141">
        <f t="shared" si="5"/>
        <v>3073.4544583763536</v>
      </c>
      <c r="S266" s="142">
        <v>0</v>
      </c>
      <c r="T266" s="142">
        <v>0</v>
      </c>
      <c r="U266" s="142">
        <v>0</v>
      </c>
      <c r="V266" s="142">
        <v>0</v>
      </c>
      <c r="W266" s="142">
        <v>0</v>
      </c>
      <c r="X266" s="142">
        <v>0</v>
      </c>
      <c r="Y266" s="142">
        <v>0</v>
      </c>
      <c r="Z266" s="142">
        <v>0</v>
      </c>
      <c r="AA266" s="142">
        <v>0</v>
      </c>
      <c r="AB266" s="142">
        <v>0</v>
      </c>
      <c r="AC266" s="142">
        <v>0</v>
      </c>
      <c r="AD266" s="142">
        <v>0</v>
      </c>
      <c r="AE266" s="142">
        <v>0</v>
      </c>
      <c r="AF266" s="142">
        <v>0</v>
      </c>
      <c r="AG266" s="142">
        <v>0</v>
      </c>
      <c r="AH266" s="142">
        <v>0</v>
      </c>
      <c r="AI266" s="142">
        <v>0</v>
      </c>
      <c r="AJ266" s="142">
        <v>0</v>
      </c>
      <c r="AK266" s="142">
        <v>0</v>
      </c>
      <c r="AL266" s="142">
        <v>0</v>
      </c>
      <c r="AM266" s="142">
        <v>0</v>
      </c>
      <c r="AN266" s="142">
        <v>0</v>
      </c>
      <c r="AO266" s="142">
        <v>0</v>
      </c>
      <c r="AP266" s="142">
        <v>0</v>
      </c>
      <c r="AQ266" s="142">
        <v>0</v>
      </c>
      <c r="AR266" s="142">
        <v>0</v>
      </c>
      <c r="AS266" s="142">
        <v>0</v>
      </c>
      <c r="AT266" s="142">
        <v>0</v>
      </c>
      <c r="AU266" s="142">
        <v>0</v>
      </c>
      <c r="AV266" s="142">
        <v>0</v>
      </c>
      <c r="AW266" s="142">
        <v>0</v>
      </c>
    </row>
    <row r="267" spans="18:49" x14ac:dyDescent="0.25">
      <c r="R267" s="141">
        <f t="shared" si="5"/>
        <v>3130.370281679619</v>
      </c>
      <c r="S267" s="142">
        <v>0</v>
      </c>
      <c r="T267" s="142">
        <v>0</v>
      </c>
      <c r="U267" s="142">
        <v>0</v>
      </c>
      <c r="V267" s="142">
        <v>0</v>
      </c>
      <c r="W267" s="142">
        <v>0</v>
      </c>
      <c r="X267" s="142">
        <v>0</v>
      </c>
      <c r="Y267" s="142">
        <v>0</v>
      </c>
      <c r="Z267" s="142">
        <v>0</v>
      </c>
      <c r="AA267" s="142">
        <v>0</v>
      </c>
      <c r="AB267" s="142">
        <v>0</v>
      </c>
      <c r="AC267" s="142">
        <v>0</v>
      </c>
      <c r="AD267" s="142">
        <v>0</v>
      </c>
      <c r="AE267" s="142">
        <v>0</v>
      </c>
      <c r="AF267" s="142">
        <v>0</v>
      </c>
      <c r="AG267" s="142">
        <v>0</v>
      </c>
      <c r="AH267" s="142">
        <v>0</v>
      </c>
      <c r="AI267" s="142">
        <v>0</v>
      </c>
      <c r="AJ267" s="142">
        <v>0</v>
      </c>
      <c r="AK267" s="142">
        <v>0</v>
      </c>
      <c r="AL267" s="142">
        <v>0</v>
      </c>
      <c r="AM267" s="142">
        <v>0</v>
      </c>
      <c r="AN267" s="142">
        <v>0</v>
      </c>
      <c r="AO267" s="142">
        <v>0</v>
      </c>
      <c r="AP267" s="142">
        <v>0</v>
      </c>
      <c r="AQ267" s="142">
        <v>0</v>
      </c>
      <c r="AR267" s="142">
        <v>0</v>
      </c>
      <c r="AS267" s="142">
        <v>0</v>
      </c>
      <c r="AT267" s="142">
        <v>0</v>
      </c>
      <c r="AU267" s="142">
        <v>0</v>
      </c>
      <c r="AV267" s="142">
        <v>0</v>
      </c>
      <c r="AW267" s="142">
        <v>0</v>
      </c>
    </row>
    <row r="268" spans="18:49" x14ac:dyDescent="0.25">
      <c r="R268" s="141">
        <f t="shared" si="5"/>
        <v>3187.2861049828853</v>
      </c>
      <c r="S268" s="142">
        <v>0</v>
      </c>
      <c r="T268" s="142">
        <v>0</v>
      </c>
      <c r="U268" s="142">
        <v>0</v>
      </c>
      <c r="V268" s="142">
        <v>0</v>
      </c>
      <c r="W268" s="142">
        <v>0</v>
      </c>
      <c r="X268" s="142">
        <v>0</v>
      </c>
      <c r="Y268" s="142">
        <v>0</v>
      </c>
      <c r="Z268" s="142">
        <v>0</v>
      </c>
      <c r="AA268" s="142">
        <v>0</v>
      </c>
      <c r="AB268" s="142">
        <v>0</v>
      </c>
      <c r="AC268" s="142">
        <v>0</v>
      </c>
      <c r="AD268" s="142">
        <v>0</v>
      </c>
      <c r="AE268" s="142">
        <v>0</v>
      </c>
      <c r="AF268" s="142">
        <v>0</v>
      </c>
      <c r="AG268" s="142">
        <v>0</v>
      </c>
      <c r="AH268" s="142">
        <v>0</v>
      </c>
      <c r="AI268" s="142">
        <v>0</v>
      </c>
      <c r="AJ268" s="142">
        <v>0</v>
      </c>
      <c r="AK268" s="142">
        <v>0</v>
      </c>
      <c r="AL268" s="142">
        <v>0</v>
      </c>
      <c r="AM268" s="142">
        <v>0</v>
      </c>
      <c r="AN268" s="142">
        <v>0</v>
      </c>
      <c r="AO268" s="142">
        <v>0</v>
      </c>
      <c r="AP268" s="142">
        <v>0</v>
      </c>
      <c r="AQ268" s="142">
        <v>0</v>
      </c>
      <c r="AR268" s="142">
        <v>0</v>
      </c>
      <c r="AS268" s="142">
        <v>0</v>
      </c>
      <c r="AT268" s="142">
        <v>0</v>
      </c>
      <c r="AU268" s="142">
        <v>0</v>
      </c>
      <c r="AV268" s="142">
        <v>0</v>
      </c>
      <c r="AW268" s="142">
        <v>0</v>
      </c>
    </row>
    <row r="269" spans="18:49" x14ac:dyDescent="0.25">
      <c r="R269" s="141">
        <f t="shared" si="5"/>
        <v>3244.2019282861506</v>
      </c>
      <c r="S269" s="142">
        <v>0</v>
      </c>
      <c r="T269" s="142">
        <v>0</v>
      </c>
      <c r="U269" s="142">
        <v>0</v>
      </c>
      <c r="V269" s="142">
        <v>0</v>
      </c>
      <c r="W269" s="142">
        <v>0</v>
      </c>
      <c r="X269" s="142">
        <v>0</v>
      </c>
      <c r="Y269" s="142">
        <v>0</v>
      </c>
      <c r="Z269" s="142">
        <v>0</v>
      </c>
      <c r="AA269" s="142">
        <v>0</v>
      </c>
      <c r="AB269" s="142">
        <v>0</v>
      </c>
      <c r="AC269" s="142">
        <v>0</v>
      </c>
      <c r="AD269" s="142">
        <v>0</v>
      </c>
      <c r="AE269" s="142">
        <v>0</v>
      </c>
      <c r="AF269" s="142">
        <v>0</v>
      </c>
      <c r="AG269" s="142">
        <v>0</v>
      </c>
      <c r="AH269" s="142">
        <v>0</v>
      </c>
      <c r="AI269" s="142">
        <v>0</v>
      </c>
      <c r="AJ269" s="142">
        <v>0</v>
      </c>
      <c r="AK269" s="142">
        <v>0</v>
      </c>
      <c r="AL269" s="142">
        <v>0</v>
      </c>
      <c r="AM269" s="142">
        <v>0</v>
      </c>
      <c r="AN269" s="142">
        <v>0</v>
      </c>
      <c r="AO269" s="142">
        <v>0</v>
      </c>
      <c r="AP269" s="142">
        <v>0</v>
      </c>
      <c r="AQ269" s="142">
        <v>0</v>
      </c>
      <c r="AR269" s="142">
        <v>0</v>
      </c>
      <c r="AS269" s="142">
        <v>0</v>
      </c>
      <c r="AT269" s="142">
        <v>0</v>
      </c>
      <c r="AU269" s="142">
        <v>0</v>
      </c>
      <c r="AV269" s="142">
        <v>0</v>
      </c>
      <c r="AW269" s="142">
        <v>0</v>
      </c>
    </row>
    <row r="270" spans="18:49" x14ac:dyDescent="0.25">
      <c r="R270" s="141">
        <f t="shared" si="5"/>
        <v>3301.1177515894169</v>
      </c>
      <c r="S270" s="142">
        <v>0</v>
      </c>
      <c r="T270" s="142">
        <v>0</v>
      </c>
      <c r="U270" s="142">
        <v>0</v>
      </c>
      <c r="V270" s="142">
        <v>0</v>
      </c>
      <c r="W270" s="142">
        <v>0</v>
      </c>
      <c r="X270" s="142">
        <v>0</v>
      </c>
      <c r="Y270" s="142">
        <v>0</v>
      </c>
      <c r="Z270" s="142">
        <v>0</v>
      </c>
      <c r="AA270" s="142">
        <v>0</v>
      </c>
      <c r="AB270" s="142">
        <v>0</v>
      </c>
      <c r="AC270" s="142">
        <v>0</v>
      </c>
      <c r="AD270" s="142">
        <v>0</v>
      </c>
      <c r="AE270" s="142">
        <v>0</v>
      </c>
      <c r="AF270" s="142">
        <v>0</v>
      </c>
      <c r="AG270" s="142">
        <v>0</v>
      </c>
      <c r="AH270" s="142">
        <v>0</v>
      </c>
      <c r="AI270" s="142">
        <v>0</v>
      </c>
      <c r="AJ270" s="142">
        <v>0</v>
      </c>
      <c r="AK270" s="142">
        <v>0</v>
      </c>
      <c r="AL270" s="142">
        <v>0</v>
      </c>
      <c r="AM270" s="142">
        <v>0</v>
      </c>
      <c r="AN270" s="142">
        <v>0</v>
      </c>
      <c r="AO270" s="142">
        <v>0</v>
      </c>
      <c r="AP270" s="142">
        <v>0</v>
      </c>
      <c r="AQ270" s="142">
        <v>0</v>
      </c>
      <c r="AR270" s="142">
        <v>0</v>
      </c>
      <c r="AS270" s="142">
        <v>0</v>
      </c>
      <c r="AT270" s="142">
        <v>0</v>
      </c>
      <c r="AU270" s="142">
        <v>0</v>
      </c>
      <c r="AV270" s="142">
        <v>0</v>
      </c>
      <c r="AW270" s="142">
        <v>0</v>
      </c>
    </row>
    <row r="271" spans="18:49" x14ac:dyDescent="0.25">
      <c r="R271" s="141">
        <f t="shared" si="5"/>
        <v>3358.0335748926823</v>
      </c>
      <c r="S271" s="142">
        <v>0</v>
      </c>
      <c r="T271" s="142">
        <v>0</v>
      </c>
      <c r="U271" s="142">
        <v>0</v>
      </c>
      <c r="V271" s="142">
        <v>0</v>
      </c>
      <c r="W271" s="142">
        <v>0</v>
      </c>
      <c r="X271" s="142">
        <v>0</v>
      </c>
      <c r="Y271" s="142">
        <v>0</v>
      </c>
      <c r="Z271" s="142">
        <v>0</v>
      </c>
      <c r="AA271" s="142">
        <v>0</v>
      </c>
      <c r="AB271" s="142">
        <v>0</v>
      </c>
      <c r="AC271" s="142">
        <v>0</v>
      </c>
      <c r="AD271" s="142">
        <v>0</v>
      </c>
      <c r="AE271" s="142">
        <v>0</v>
      </c>
      <c r="AF271" s="142">
        <v>0</v>
      </c>
      <c r="AG271" s="142">
        <v>0</v>
      </c>
      <c r="AH271" s="142">
        <v>0</v>
      </c>
      <c r="AI271" s="142">
        <v>0</v>
      </c>
      <c r="AJ271" s="142">
        <v>0</v>
      </c>
      <c r="AK271" s="142">
        <v>0</v>
      </c>
      <c r="AL271" s="142">
        <v>0</v>
      </c>
      <c r="AM271" s="142">
        <v>0</v>
      </c>
      <c r="AN271" s="142">
        <v>0</v>
      </c>
      <c r="AO271" s="142">
        <v>0</v>
      </c>
      <c r="AP271" s="142">
        <v>0</v>
      </c>
      <c r="AQ271" s="142">
        <v>0</v>
      </c>
      <c r="AR271" s="142">
        <v>0</v>
      </c>
      <c r="AS271" s="142">
        <v>0</v>
      </c>
      <c r="AT271" s="142">
        <v>0</v>
      </c>
      <c r="AU271" s="142">
        <v>0</v>
      </c>
      <c r="AV271" s="142">
        <v>0</v>
      </c>
      <c r="AW271" s="142">
        <v>0</v>
      </c>
    </row>
    <row r="272" spans="18:49" x14ac:dyDescent="0.25">
      <c r="R272" s="141">
        <f t="shared" si="5"/>
        <v>3500</v>
      </c>
      <c r="S272" s="142">
        <v>0</v>
      </c>
      <c r="T272" s="142">
        <v>0</v>
      </c>
      <c r="U272" s="142">
        <v>0</v>
      </c>
      <c r="V272" s="142">
        <v>0</v>
      </c>
      <c r="W272" s="142">
        <v>0</v>
      </c>
      <c r="X272" s="142">
        <v>0</v>
      </c>
      <c r="Y272" s="142">
        <v>0</v>
      </c>
      <c r="Z272" s="142">
        <v>0</v>
      </c>
      <c r="AA272" s="142">
        <v>0</v>
      </c>
      <c r="AB272" s="142">
        <v>0</v>
      </c>
      <c r="AC272" s="142">
        <v>0</v>
      </c>
      <c r="AD272" s="142">
        <v>0</v>
      </c>
      <c r="AE272" s="142">
        <v>0</v>
      </c>
      <c r="AF272" s="142">
        <v>0</v>
      </c>
      <c r="AG272" s="142">
        <v>0</v>
      </c>
      <c r="AH272" s="142">
        <v>0</v>
      </c>
      <c r="AI272" s="142">
        <v>0</v>
      </c>
      <c r="AJ272" s="142">
        <v>0</v>
      </c>
      <c r="AK272" s="142">
        <v>0</v>
      </c>
      <c r="AL272" s="142">
        <v>0</v>
      </c>
      <c r="AM272" s="142">
        <v>0</v>
      </c>
      <c r="AN272" s="142">
        <v>0</v>
      </c>
      <c r="AO272" s="142">
        <v>0</v>
      </c>
      <c r="AP272" s="142">
        <v>0</v>
      </c>
      <c r="AQ272" s="142">
        <v>0</v>
      </c>
      <c r="AR272" s="142">
        <v>0</v>
      </c>
      <c r="AS272" s="142">
        <v>0</v>
      </c>
      <c r="AT272" s="142">
        <v>0</v>
      </c>
      <c r="AU272" s="142">
        <v>0</v>
      </c>
      <c r="AV272" s="142">
        <v>0</v>
      </c>
      <c r="AW272" s="142">
        <v>0</v>
      </c>
    </row>
  </sheetData>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1:C15"/>
  <sheetViews>
    <sheetView topLeftCell="A7" workbookViewId="0">
      <selection activeCell="C8" sqref="C8"/>
    </sheetView>
  </sheetViews>
  <sheetFormatPr defaultRowHeight="13.2" x14ac:dyDescent="0.25"/>
  <cols>
    <col min="3" max="3" width="62.5546875" customWidth="1"/>
  </cols>
  <sheetData>
    <row r="1" spans="2:3" ht="63" customHeight="1" x14ac:dyDescent="0.25">
      <c r="C1" s="12" t="s">
        <v>15</v>
      </c>
    </row>
    <row r="3" spans="2:3" ht="92.4" x14ac:dyDescent="0.25">
      <c r="C3" s="12" t="s">
        <v>16</v>
      </c>
    </row>
    <row r="5" spans="2:3" ht="13.8" thickBot="1" x14ac:dyDescent="0.3"/>
    <row r="6" spans="2:3" x14ac:dyDescent="0.25">
      <c r="B6" s="7" t="s">
        <v>14</v>
      </c>
      <c r="C6" s="1"/>
    </row>
    <row r="7" spans="2:3" ht="52.8" x14ac:dyDescent="0.25">
      <c r="B7" s="2">
        <v>1</v>
      </c>
      <c r="C7" s="4" t="s">
        <v>319</v>
      </c>
    </row>
    <row r="8" spans="2:3" ht="26.4" x14ac:dyDescent="0.25">
      <c r="B8" s="2">
        <v>2</v>
      </c>
      <c r="C8" s="4" t="s">
        <v>0</v>
      </c>
    </row>
    <row r="9" spans="2:3" ht="26.4" x14ac:dyDescent="0.25">
      <c r="B9" s="2">
        <v>3</v>
      </c>
      <c r="C9" s="4" t="s">
        <v>1</v>
      </c>
    </row>
    <row r="10" spans="2:3" x14ac:dyDescent="0.25">
      <c r="B10" s="2">
        <v>4</v>
      </c>
      <c r="C10" s="4" t="s">
        <v>2</v>
      </c>
    </row>
    <row r="11" spans="2:3" x14ac:dyDescent="0.25">
      <c r="B11" s="2">
        <v>5</v>
      </c>
      <c r="C11" s="4" t="s">
        <v>3</v>
      </c>
    </row>
    <row r="12" spans="2:3" x14ac:dyDescent="0.25">
      <c r="B12" s="2">
        <v>6</v>
      </c>
      <c r="C12" s="4" t="s">
        <v>4</v>
      </c>
    </row>
    <row r="13" spans="2:3" ht="26.4" x14ac:dyDescent="0.25">
      <c r="B13" s="2">
        <v>7</v>
      </c>
      <c r="C13" s="4" t="s">
        <v>5</v>
      </c>
    </row>
    <row r="14" spans="2:3" x14ac:dyDescent="0.25">
      <c r="B14" s="5">
        <v>8</v>
      </c>
      <c r="C14" s="4" t="s">
        <v>318</v>
      </c>
    </row>
    <row r="15" spans="2:3" ht="13.8" thickBot="1" x14ac:dyDescent="0.3">
      <c r="B15" s="3">
        <v>9</v>
      </c>
      <c r="C15" s="6" t="s">
        <v>6</v>
      </c>
    </row>
  </sheetData>
  <phoneticPr fontId="0" type="noConversion"/>
  <pageMargins left="0.75" right="0.75" top="1" bottom="1" header="0.5" footer="0.5"/>
  <pageSetup orientation="portrait" r:id="rId1"/>
  <headerFooter alignWithMargins="0"/>
  <drawing r:id="rId2"/>
  <legacyDrawing r:id="rId3"/>
  <oleObjects>
    <mc:AlternateContent xmlns:mc="http://schemas.openxmlformats.org/markup-compatibility/2006">
      <mc:Choice Requires="x14">
        <oleObject progId="Document" shapeId="2049" r:id="rId4">
          <objectPr defaultSize="0" r:id="rId5">
            <anchor moveWithCells="1">
              <from>
                <xdr:col>1</xdr:col>
                <xdr:colOff>220980</xdr:colOff>
                <xdr:row>17</xdr:row>
                <xdr:rowOff>152400</xdr:rowOff>
              </from>
              <to>
                <xdr:col>4</xdr:col>
                <xdr:colOff>350520</xdr:colOff>
                <xdr:row>91</xdr:row>
                <xdr:rowOff>7620</xdr:rowOff>
              </to>
            </anchor>
          </objectPr>
        </oleObject>
      </mc:Choice>
      <mc:Fallback>
        <oleObject progId="Document" shapeId="2049" r:id="rId4"/>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C9"/>
  <sheetViews>
    <sheetView workbookViewId="0">
      <selection activeCell="C23" sqref="C23"/>
    </sheetView>
  </sheetViews>
  <sheetFormatPr defaultRowHeight="13.2" x14ac:dyDescent="0.25"/>
  <cols>
    <col min="3" max="3" width="62.88671875" style="8" customWidth="1"/>
  </cols>
  <sheetData>
    <row r="2" spans="2:3" ht="13.8" thickBot="1" x14ac:dyDescent="0.3"/>
    <row r="3" spans="2:3" x14ac:dyDescent="0.25">
      <c r="B3" s="7" t="s">
        <v>13</v>
      </c>
      <c r="C3" s="9"/>
    </row>
    <row r="4" spans="2:3" ht="26.4" x14ac:dyDescent="0.25">
      <c r="B4" s="2">
        <v>1</v>
      </c>
      <c r="C4" s="4" t="s">
        <v>7</v>
      </c>
    </row>
    <row r="5" spans="2:3" ht="52.8" x14ac:dyDescent="0.25">
      <c r="B5" s="2">
        <v>2</v>
      </c>
      <c r="C5" s="4" t="s">
        <v>8</v>
      </c>
    </row>
    <row r="6" spans="2:3" x14ac:dyDescent="0.25">
      <c r="B6" s="2">
        <v>3</v>
      </c>
      <c r="C6" s="4" t="s">
        <v>9</v>
      </c>
    </row>
    <row r="7" spans="2:3" x14ac:dyDescent="0.25">
      <c r="B7" s="2">
        <v>4</v>
      </c>
      <c r="C7" s="4" t="s">
        <v>10</v>
      </c>
    </row>
    <row r="8" spans="2:3" x14ac:dyDescent="0.25">
      <c r="B8" s="2">
        <v>5</v>
      </c>
      <c r="C8" s="4" t="s">
        <v>11</v>
      </c>
    </row>
    <row r="9" spans="2:3" ht="13.8" thickBot="1" x14ac:dyDescent="0.3">
      <c r="B9" s="10">
        <v>6</v>
      </c>
      <c r="C9" s="11" t="s">
        <v>12</v>
      </c>
    </row>
  </sheetData>
  <phoneticPr fontId="0" type="noConversion"/>
  <pageMargins left="0.75" right="0.75" top="1" bottom="1" header="0.5" footer="0.5"/>
  <pageSetup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MotorSpecs1</vt:lpstr>
      <vt:lpstr>MotorData1</vt:lpstr>
      <vt:lpstr>DriveData1</vt:lpstr>
      <vt:lpstr>TSData1</vt:lpstr>
      <vt:lpstr>EffMap1</vt:lpstr>
      <vt:lpstr>Motor Footnotes</vt:lpstr>
      <vt:lpstr>Gearbox Footnotes</vt:lpstr>
      <vt:lpstr>MotorSpecs1!Print_Area</vt:lpstr>
    </vt:vector>
  </TitlesOfParts>
  <Company>Electromechanical Automation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s_huard</dc:creator>
  <cp:lastModifiedBy>M  Kevin Holloway</cp:lastModifiedBy>
  <cp:lastPrinted>2005-01-25T22:18:42Z</cp:lastPrinted>
  <dcterms:created xsi:type="dcterms:W3CDTF">2004-07-23T00:21:46Z</dcterms:created>
  <dcterms:modified xsi:type="dcterms:W3CDTF">2016-10-25T00:21:47Z</dcterms:modified>
</cp:coreProperties>
</file>